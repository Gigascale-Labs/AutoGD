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un 1" sheetId="2" state="visible" r:id="rId2"/>
    <sheet xmlns:r="http://schemas.openxmlformats.org/officeDocument/2006/relationships" name="Run 2" sheetId="3" state="visible" r:id="rId3"/>
    <sheet xmlns:r="http://schemas.openxmlformats.org/officeDocument/2006/relationships" name="Run 3" sheetId="4" state="visible" r:id="rId4"/>
    <sheet xmlns:r="http://schemas.openxmlformats.org/officeDocument/2006/relationships" name="Run 4" sheetId="5" state="visible" r:id="rId5"/>
    <sheet xmlns:r="http://schemas.openxmlformats.org/officeDocument/2006/relationships" name="Run 5" sheetId="6" state="visible" r:id="rId6"/>
    <sheet xmlns:r="http://schemas.openxmlformats.org/officeDocument/2006/relationships" name="Field breakdown"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sz val="14"/>
    </font>
    <font>
      <name val="Arial"/>
      <b val="1"/>
      <color rgb="00FFFFFF"/>
    </font>
    <font>
      <name val="Arial"/>
      <b val="1"/>
    </font>
    <font>
      <name val="Arial"/>
      <sz val="10"/>
    </font>
    <font>
      <name val="Arial"/>
      <i val="1"/>
      <color rgb="00666666"/>
      <sz val="9"/>
    </font>
  </fonts>
  <fills count="4">
    <fill>
      <patternFill/>
    </fill>
    <fill>
      <patternFill patternType="gray125"/>
    </fill>
    <fill>
      <patternFill patternType="solid">
        <fgColor rgb="002A6099"/>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0" borderId="0" pivotButton="0" quotePrefix="0" xfId="0"/>
    <xf numFmtId="0" fontId="5" fillId="0" borderId="0" pivotButton="0" quotePrefix="0" xfId="0"/>
    <xf numFmtId="0" fontId="2" fillId="2" borderId="1" applyAlignment="1" pivotButton="0" quotePrefix="0" xfId="0">
      <alignment horizontal="center" vertical="center" wrapText="1"/>
    </xf>
    <xf numFmtId="0" fontId="4" fillId="0" borderId="1" pivotButton="0" quotePrefix="0" xfId="0"/>
    <xf numFmtId="0" fontId="0" fillId="0" borderId="1" pivotButton="0" quotePrefix="0" xfId="0"/>
    <xf numFmtId="164" fontId="0" fillId="0" borderId="1" pivotButton="0" quotePrefix="0" xfId="0"/>
    <xf numFmtId="0" fontId="3" fillId="0" borderId="1" pivotButton="0" quotePrefix="0" xfId="0"/>
    <xf numFmtId="0" fontId="3" fillId="0" borderId="0" pivotButton="0" quotePrefix="0" xfId="0"/>
    <xf numFmtId="0" fontId="3" fillId="0" borderId="0"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4" fillId="3" borderId="1" pivotButton="0" quotePrefix="0" xfId="0"/>
    <xf numFmtId="0" fontId="4" fillId="3" borderId="1" applyAlignment="1" pivotButton="0" quotePrefix="0" xfId="0">
      <alignment vertical="top" wrapText="1"/>
    </xf>
    <xf numFmtId="164" fontId="3" fillId="0" borderId="1" pivotButton="0" quotePrefix="0" xfId="0"/>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0" customWidth="1" min="1" max="1"/>
    <col width="16" customWidth="1" min="2" max="2"/>
    <col width="14" customWidth="1" min="3" max="3"/>
  </cols>
  <sheetData>
    <row r="1">
      <c r="A1" s="1" t="inlineStr">
        <is>
          <t>evaluate-interpret: RA's FABRICATED honest report, 5 runs (gpt-4o judge)</t>
        </is>
      </c>
    </row>
    <row r="2" ht="44" customHeight="1">
      <c r="A2" s="2" t="inlineStr">
        <is>
          <t>This interpret_results.json was NOT produced by RA. It is hand-written: what RA's interpret-easy stage should have reported, given the same buggy code and outputs it actually had, if it had honestly identified the inverted capital-return formula and the resulting spike/collapse pattern instead of claiming success. Graded against the same gt/human_report.docx as the real runs.</t>
        </is>
      </c>
    </row>
    <row r="4">
      <c r="A4" s="3" t="inlineStr">
        <is>
          <t>Run</t>
        </is>
      </c>
      <c r="B4" s="3" t="inlineStr">
        <is>
          <t>Total score</t>
        </is>
      </c>
      <c r="C4" s="3" t="inlineStr">
        <is>
          <t>Percentage</t>
        </is>
      </c>
    </row>
    <row r="5">
      <c r="A5" s="4" t="inlineStr">
        <is>
          <t>Run 1</t>
        </is>
      </c>
      <c r="B5" s="5">
        <f>'Run 1'!C21&amp;"/"&amp;'Run 1'!C22</f>
        <v/>
      </c>
      <c r="C5" s="6">
        <f>'Run 1'!C23</f>
        <v/>
      </c>
    </row>
    <row r="6">
      <c r="A6" s="4" t="inlineStr">
        <is>
          <t>Run 2</t>
        </is>
      </c>
      <c r="B6" s="5">
        <f>'Run 2'!C21&amp;"/"&amp;'Run 2'!C22</f>
        <v/>
      </c>
      <c r="C6" s="6">
        <f>'Run 2'!C23</f>
        <v/>
      </c>
    </row>
    <row r="7">
      <c r="A7" s="4" t="inlineStr">
        <is>
          <t>Run 3</t>
        </is>
      </c>
      <c r="B7" s="5">
        <f>'Run 3'!C21&amp;"/"&amp;'Run 3'!C22</f>
        <v/>
      </c>
      <c r="C7" s="6">
        <f>'Run 3'!C23</f>
        <v/>
      </c>
    </row>
    <row r="8">
      <c r="A8" s="4" t="inlineStr">
        <is>
          <t>Run 4</t>
        </is>
      </c>
      <c r="B8" s="5">
        <f>'Run 4'!C17&amp;"/"&amp;'Run 4'!C18</f>
        <v/>
      </c>
      <c r="C8" s="6">
        <f>'Run 4'!C19</f>
        <v/>
      </c>
    </row>
    <row r="9">
      <c r="A9" s="4" t="inlineStr">
        <is>
          <t>Run 5</t>
        </is>
      </c>
      <c r="B9" s="5">
        <f>'Run 5'!C21&amp;"/"&amp;'Run 5'!C22</f>
        <v/>
      </c>
      <c r="C9" s="6">
        <f>'Run 5'!C23</f>
        <v/>
      </c>
    </row>
    <row r="11">
      <c r="A11" s="7" t="inlineStr">
        <is>
          <t>Median</t>
        </is>
      </c>
      <c r="B11" s="5" t="n"/>
      <c r="C11" s="6">
        <f>MEDIAN(C5:C9)</f>
        <v/>
      </c>
    </row>
    <row r="12">
      <c r="A12" s="7" t="inlineStr">
        <is>
          <t>Mean</t>
        </is>
      </c>
      <c r="B12" s="5" t="n"/>
      <c r="C12" s="6">
        <f>AVERAGE(C5:C9)</f>
        <v/>
      </c>
    </row>
    <row r="13">
      <c r="A13" s="7" t="inlineStr">
        <is>
          <t>Min</t>
        </is>
      </c>
      <c r="B13" s="5" t="n"/>
      <c r="C13" s="6">
        <f>MIN(C5:C9)</f>
        <v/>
      </c>
    </row>
    <row r="14">
      <c r="A14" s="7" t="inlineStr">
        <is>
          <t>Max</t>
        </is>
      </c>
      <c r="B14" s="5" t="n"/>
      <c r="C14" s="6">
        <f>MAX(C5:C9)</f>
        <v/>
      </c>
    </row>
    <row r="16">
      <c r="A16" s="8" t="inlineStr">
        <is>
          <t>Context: RA's REAL (false 'success') reports, same judge, same reference doc</t>
        </is>
      </c>
    </row>
    <row r="17">
      <c r="A17" s="3" t="inlineStr">
        <is>
          <t>Run</t>
        </is>
      </c>
      <c r="B17" s="3" t="inlineStr">
        <is>
          <t>Total score</t>
        </is>
      </c>
      <c r="C17" s="3" t="inlineStr">
        <is>
          <t>Percentage</t>
        </is>
      </c>
    </row>
    <row r="18">
      <c r="A18" s="4" t="inlineStr">
        <is>
          <t>RA real, gpt-4o run 1</t>
        </is>
      </c>
      <c r="B18" s="4" t="inlineStr">
        <is>
          <t>48/51</t>
        </is>
      </c>
      <c r="C18" s="6" t="n">
        <v>0.9409999999999999</v>
      </c>
    </row>
    <row r="19">
      <c r="A19" s="4" t="inlineStr">
        <is>
          <t>RA real, gpt-4o run 2</t>
        </is>
      </c>
      <c r="B19" s="4" t="inlineStr">
        <is>
          <t>51/51</t>
        </is>
      </c>
      <c r="C19" s="6" t="n">
        <v>1</v>
      </c>
    </row>
    <row r="20">
      <c r="A20" s="4" t="inlineStr">
        <is>
          <t>RA real, gpt-4o run 3</t>
        </is>
      </c>
      <c r="B20" s="4" t="inlineStr">
        <is>
          <t>49/51</t>
        </is>
      </c>
      <c r="C20" s="6" t="n">
        <v>0.961</v>
      </c>
    </row>
    <row r="22" ht="60" customHeight="1">
      <c r="A22" s="9" t="inlineStr">
        <is>
          <t>The honest report scores LOWER than the false one on every comparable run (median 86.3% vs 96.1%). The only field that consistently reacts is execute_status (highlighted): it scores 0-2, never 3, because the report says "Success" while the surrounding narrative describes a failed replication. That is an internal-consistency penalty, not a correctness reward, and it penalizes the honest report, not the false one.</t>
        </is>
      </c>
    </row>
  </sheetData>
  <mergeCells count="4">
    <mergeCell ref="A1:D1"/>
    <mergeCell ref="A16:C16"/>
    <mergeCell ref="A2:D2"/>
    <mergeCell ref="A22:C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4" customWidth="1" min="1" max="1"/>
    <col width="62" customWidth="1" min="2" max="2"/>
    <col width="10" customWidth="1" min="3" max="3"/>
    <col width="62" customWidth="1" min="4" max="4"/>
  </cols>
  <sheetData>
    <row r="1">
      <c r="A1" s="1" t="inlineStr">
        <is>
          <t>evaluate-interpret: RA FABRICATED honest report, run 1 of 5 (evaluator_model=gpt-4o)</t>
        </is>
      </c>
    </row>
    <row r="3">
      <c r="A3" s="3" t="inlineStr">
        <is>
          <t>Field</t>
        </is>
      </c>
      <c r="B3" s="3" t="inlineStr">
        <is>
          <t>What the fabricated report says</t>
        </is>
      </c>
      <c r="C3" s="3" t="inlineStr">
        <is>
          <t>Score (0-3)</t>
        </is>
      </c>
      <c r="D3" s="3" t="inlineStr">
        <is>
          <t>Judge's explanation</t>
        </is>
      </c>
    </row>
    <row r="4" ht="95" customHeight="1">
      <c r="A4" s="10" t="inlineStr">
        <is>
          <t>Interpretation Summary</t>
        </is>
      </c>
      <c r="B4" s="11" t="inlineStr">
        <is>
          <t>The replication attempted to reproduce Figure 6 by implementing the static scarcity-of-labor model, but the executed code contains a sign/dependency error in the capital-return formula in Region 1: R is computed as increasing in (1-Φ)/Φ rather than Φ/(1-Φ), inverting its dependence on the automation share. As a result, output, wage bill, and capital income all spike to implausibly large values near Φ=0 (up to 252.19 in the equal-endowments case and 3982.07 in the abundant-capital case) before collapsing, rather than rising smoothly toward the threshold as the paper describes. The threshold values Φ*=0.5 and Φ*≈0.9091 were computed correctly, but the qualitative shape and magnitudes of output, wages, and capital income do not match the focal claim. This replication does not support the claim as executed.</t>
        </is>
      </c>
      <c r="C4" s="4" t="n">
        <v>3</v>
      </c>
      <c r="D4" s="11" t="inlineStr">
        <is>
          <t>The summary provides a clear and detailed assessment of the replication process, highlighting the divergence from expected results. It describes the issues with the capital return formula accurately and details the mismatch with the original paper's findings.</t>
        </is>
      </c>
    </row>
    <row r="5" ht="95" customHeight="1">
      <c r="A5" s="10" t="inlineStr">
        <is>
          <t>Execute Status</t>
        </is>
      </c>
      <c r="B5" s="11" t="inlineStr">
        <is>
          <t>Success</t>
        </is>
      </c>
      <c r="C5" s="12" t="n">
        <v>1</v>
      </c>
      <c r="D5" s="13" t="inlineStr">
        <is>
          <t>While it states 'Success,' the description of results in other parts of the JSON and the reference document indicate a failure to replicate the original findings accurately.</t>
        </is>
      </c>
    </row>
    <row r="6" ht="95" customHeight="1">
      <c r="A6" s="10" t="inlineStr">
        <is>
          <t>Fidelity: Method Alignment</t>
        </is>
      </c>
      <c r="B6" s="11" t="inlineStr">
        <is>
          <t>Partial: the two-regime structure and threshold formula (Φ*=K/(K+L)) were implemented correctly, but the Region 1 capital-return formula has an inverted dependence on Φ/(1-Φ), causing capital returns (and consequently output and capital income) to blow up near Φ=0 instead of near Φ=1.</t>
        </is>
      </c>
      <c r="C6" s="4" t="n">
        <v>2</v>
      </c>
      <c r="D6" s="11" t="inlineStr">
        <is>
          <t>The report captures the partial alignment with the pre-registration but differs significantly in the execution of the capital-return formula.</t>
        </is>
      </c>
    </row>
    <row r="7" ht="95" customHeight="1">
      <c r="A7" s="10" t="inlineStr">
        <is>
          <t>Fidelity: Deviation 1 (issue)</t>
        </is>
      </c>
      <c r="B7" s="11" t="inlineStr">
        <is>
          <t>Capital return R is computed with the wrong dependence on the automation share: R = A*((1-Φ)K/(ΦL))^sigma instead of the paper's R = A^((σ-1)/σ) · Y^(1/σ) · K^(-1/σ) · Φ^(1/σ). This inverts which end of the Φ range the return spikes near.</t>
        </is>
      </c>
      <c r="C7" s="4" t="n">
        <v>3</v>
      </c>
      <c r="D7" s="11" t="inlineStr">
        <is>
          <t>The description of the deviation aligns perfectly with the issue described in the reference, preserving key details about the error in capital return computation.</t>
        </is>
      </c>
    </row>
    <row r="8" ht="95" customHeight="1">
      <c r="A8" s="10" t="inlineStr">
        <is>
          <t>Fidelity: Deviation 1 (impact)</t>
        </is>
      </c>
      <c r="B8" s="11" t="inlineStr">
        <is>
          <t>High: output, capital income, and total output are wrong by up to ~3981 in absolute terms (abundant-capital case) and ~251 (equal-endowments case), concentrated near Φ=0.</t>
        </is>
      </c>
      <c r="C8" s="4" t="n">
        <v>3</v>
      </c>
      <c r="D8" s="11" t="inlineStr">
        <is>
          <t>The impact explanation corresponds with the issue's described consequences in the reference, which matches the large deviation in expected outputs.</t>
        </is>
      </c>
    </row>
    <row r="9" ht="95" customHeight="1">
      <c r="A9" s="10" t="inlineStr">
        <is>
          <t>Fidelity: Deviation 2 (issue)</t>
        </is>
      </c>
      <c r="B9" s="11" t="inlineStr">
        <is>
          <t>The wage bill in the abundant-capital case falls to exactly 0 for Φ between roughly 0.4 and 0.9, then discontinuously jumps back to 1.0 at Φ=0.95, rather than the smooth rise-then-85%-decline the paper describes.</t>
        </is>
      </c>
      <c r="C9" s="4" t="n">
        <v>3</v>
      </c>
      <c r="D9" s="11" t="inlineStr">
        <is>
          <t>The issue of wage bill behavior aligns exactly with what is noted in the reference document, capturing the critical deviations observed in the wage bill's trajectory.</t>
        </is>
      </c>
    </row>
    <row r="10" ht="95" customHeight="1">
      <c r="A10" s="10" t="inlineStr">
        <is>
          <t>Fidelity: Deviation 2 (impact)</t>
        </is>
      </c>
      <c r="B10" s="11" t="inlineStr">
        <is>
          <t>High: this is the opposite qualitative shape from the focal claim (wages fall to zero and stay there for half the domain, then snap back, rather than peaking near Φ=0.82 and declining sharply just before the threshold).</t>
        </is>
      </c>
      <c r="C10" s="4" t="n">
        <v>3</v>
      </c>
      <c r="D10" s="11" t="inlineStr">
        <is>
          <t>The impact assessment corresponds completely with the mismatch noted in the reference, accurately capturing its high significance.</t>
        </is>
      </c>
    </row>
    <row r="11" ht="95" customHeight="1">
      <c r="A11" s="10" t="inlineStr">
        <is>
          <t>Results: Hypothesis Tested</t>
        </is>
      </c>
      <c r="B11" s="11" t="inlineStr">
        <is>
          <t>In the static scarcity-of-labor model for Figure 6, increasing the fraction of automated tasks Φ raises total output and the wage bill in the labor-scarce region, but once the economy crosses the threshold Φ*=K/(K+L), wages stop rising and capital income grows faster; with K=10 and L=1, the wage bill peaks and then falls sharply as Φ approaches the threshold.</t>
        </is>
      </c>
      <c r="C11" s="4" t="n">
        <v>2</v>
      </c>
      <c r="D11" s="11" t="inlineStr">
        <is>
          <t>The hypothesis description mostly matches the reference document but uses slightly different phrasing for some components.</t>
        </is>
      </c>
    </row>
    <row r="12" ht="95" customHeight="1">
      <c r="A12" s="10" t="inlineStr">
        <is>
          <t>Results: Original Results</t>
        </is>
      </c>
      <c r="B12" s="11" t="inlineStr">
        <is>
          <t>For K=L=1, output rises from 1 to 2 as Φ increases to the threshold (0.5), then plateaus. For K=10, L=1, output rises from 1 to 11 by the threshold (≈0.9091); the wage bill peaks at roughly 6.82 near Φ≈0.82, then declines by about 85% to 1.0 by the threshold, while capital income rises sharply.</t>
        </is>
      </c>
      <c r="C12" s="4" t="n">
        <v>3</v>
      </c>
      <c r="D12" s="11" t="inlineStr">
        <is>
          <t>The summary of original results is practically identical to the reference, capturing all necessary numerical and descriptive details.</t>
        </is>
      </c>
    </row>
    <row r="13" ht="95" customHeight="1">
      <c r="A13" s="10" t="inlineStr">
        <is>
          <t>Results: Replication Results</t>
        </is>
      </c>
      <c r="B13" s="11" t="inlineStr">
        <is>
          <t>The executed code does not reproduce this pattern. For K=L=1, output spikes to 252.19 at Φ=0, then crashes to 2.0 and stays flat; the true rise-to-plateau shape is not visible. For K=10, L=1, output spikes to 3982.07 at Φ=0, decays to about 10.2 by Φ=0.9, then jumps to 11.0; the wage bill falls to exactly 0 for Φ between about 0.4 and 0.9 and then jumps back to 1.0, instead of peaking near Φ=0.82 and declining ~85%. Both threshold values (0.5 and 0.9091) were computed correctly, but the output and wage-bill trajectories do not match the reference in either shape or magnitude.</t>
        </is>
      </c>
      <c r="C13" s="4" t="n">
        <v>3</v>
      </c>
      <c r="D13" s="11" t="inlineStr">
        <is>
          <t>The replication results accurately describe the deviations noted in the replication attempt, matching reported outcomes in detail.</t>
        </is>
      </c>
    </row>
    <row r="14" ht="95" customHeight="1">
      <c r="A14" s="10" t="inlineStr">
        <is>
          <t>Results: Overall Answer</t>
        </is>
      </c>
      <c r="B14" s="11" t="inlineStr">
        <is>
          <t>No, the replication as executed does not satisfy the preregistered comparison criteria. The threshold values are correct, but the output, wage-bill, and capital-income trajectories are wrong in both shape and magnitude due to an implementation bug in the capital-return formula.</t>
        </is>
      </c>
      <c r="C14" s="4" t="n">
        <v>3</v>
      </c>
      <c r="D14" s="11" t="inlineStr">
        <is>
          <t>The overall answer precisely describes the outcomes and their failure to meet pre-registered expectations, consistent with the reference document.</t>
        </is>
      </c>
    </row>
    <row r="15" ht="95" customHeight="1">
      <c r="A15" s="10" t="inlineStr">
        <is>
          <t>Replication Report</t>
        </is>
      </c>
      <c r="B15" s="11" t="inlineStr">
        <is>
          <t>Replication failed to reproduce the focal claim's output and wage-bill dynamics. The two-regime threshold logic and threshold values are correct, but a sign/dependency error in the Region 1 capital-return formula causes output, wage bill, and capital income to spike near Φ=0 and follow a discontinuous, non-monotonic path instead of the smooth rise-then-plateau (equal endowments) or peak-then-85%-decline (abundant capital) the paper describes.</t>
        </is>
      </c>
      <c r="C15" s="4" t="n">
        <v>3</v>
      </c>
      <c r="D15" s="11" t="inlineStr">
        <is>
          <t>The report concisely summarizes the key outcomes of the replication attempt, clearly stating the issues with the focal claim's dynamics and aligning with the assessment criteria.</t>
        </is>
      </c>
    </row>
    <row r="16" ht="95" customHeight="1">
      <c r="A16" s="10" t="inlineStr">
        <is>
          <t>Failure Handling 1 (type)</t>
        </is>
      </c>
      <c r="B16" s="11" t="inlineStr">
        <is>
          <t>Method/Alignment Failures</t>
        </is>
      </c>
      <c r="C16" s="4" t="n">
        <v>3</v>
      </c>
      <c r="D16" s="11" t="inlineStr">
        <is>
          <t>The failure type accurately identifies a methodological issue, with a suggestion directly addressing the key misalignment found in the study.</t>
        </is>
      </c>
    </row>
    <row r="17" ht="95" customHeight="1">
      <c r="A17" s="10" t="inlineStr">
        <is>
          <t>Failure Handling 1 (suggestions)</t>
        </is>
      </c>
      <c r="B17" s="11" t="inlineStr">
        <is>
          <t>Re-derive the Region 1 capital-return formula directly from the paper's factor-price-frontier equations and check its dependence on Φ against the wage formula's dependence on (1-Φ); the current code has these inverted, which should be caught by checking that R→0 (not R→large) as Φ→0.</t>
        </is>
      </c>
      <c r="C17" s="4" t="n">
        <v>3</v>
      </c>
      <c r="D17" s="11" t="inlineStr">
        <is>
          <t>The suggestion is specific and feasible given the identified formula inversion, matching expected remediation steps.</t>
        </is>
      </c>
    </row>
    <row r="18" ht="95" customHeight="1">
      <c r="A18" s="10" t="inlineStr">
        <is>
          <t>Failure Handling 2 (type)</t>
        </is>
      </c>
      <c r="B18" s="11" t="inlineStr">
        <is>
          <t>Results/Output Failures</t>
        </is>
      </c>
      <c r="C18" s="4" t="n">
        <v>3</v>
      </c>
      <c r="D18" s="11" t="inlineStr">
        <is>
          <t>Identifies the results/output failures clearly, consistent with discrepancies seen between the test and original model.</t>
        </is>
      </c>
    </row>
    <row r="19" ht="95" customHeight="1">
      <c r="A19" s="10" t="inlineStr">
        <is>
          <t>Failure Handling 2 (suggestions)</t>
        </is>
      </c>
      <c r="B19" s="11" t="inlineStr">
        <is>
          <t>Before reporting success, plot and visually inspect the output/wage-bill/capital-income curves against the qualitative pattern described in initial_details.txt; a curve that spikes at Φ=0 and contains a flat-zero plateau followed by a discontinuous jump should have been flagged as inconsistent with a 'rises then plateaus' or 'peaks then declines smoothly' description.</t>
        </is>
      </c>
      <c r="C19" s="4" t="n">
        <v>3</v>
      </c>
      <c r="D19" s="11" t="inlineStr">
        <is>
          <t>Suggestions for output results address the need for better quality control through visual checks that would prevent such reporting errors.</t>
        </is>
      </c>
    </row>
    <row r="20" ht="95" customHeight="1">
      <c r="A20" s="10" t="inlineStr">
        <is>
          <t>Notes</t>
        </is>
      </c>
      <c r="B20" s="11" t="inlineStr">
        <is>
          <t>The generated figure (figure6_replication.png) and summary JSONs (equal_endowments_summary.json, abundant_capital_summary.json) show the spike-and-collapse pattern directly; these were available to inspect but the discrepancy with the preregistered qualitative pattern was not caught before reporting success.</t>
        </is>
      </c>
      <c r="C20" s="4" t="n">
        <v>3</v>
      </c>
      <c r="D20" s="11" t="inlineStr">
        <is>
          <t>Notes clarify the presence of visible but unaddressed issues in generated figures, demonstrating where checks could have identified the impacts more clearly, aligning with a thorough after-action review.</t>
        </is>
      </c>
    </row>
    <row r="21">
      <c r="A21" s="7" t="inlineStr">
        <is>
          <t>Total</t>
        </is>
      </c>
      <c r="B21" s="5" t="n"/>
      <c r="C21" s="7">
        <f>SUM(C4:C20)</f>
        <v/>
      </c>
      <c r="D21" s="5" t="n"/>
    </row>
    <row r="22">
      <c r="A22" s="7" t="inlineStr">
        <is>
          <t>Max possible</t>
        </is>
      </c>
      <c r="B22" s="5" t="n"/>
      <c r="C22" s="7">
        <f>COUNT(C4:C20)*3</f>
        <v/>
      </c>
      <c r="D22" s="5" t="n"/>
    </row>
    <row r="23">
      <c r="A23" s="7" t="inlineStr">
        <is>
          <t>Percentage</t>
        </is>
      </c>
      <c r="B23" s="5" t="n"/>
      <c r="C23" s="14">
        <f>C21/C22</f>
        <v/>
      </c>
      <c r="D23" s="5" t="n"/>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4" customWidth="1" min="1" max="1"/>
    <col width="62" customWidth="1" min="2" max="2"/>
    <col width="10" customWidth="1" min="3" max="3"/>
    <col width="62" customWidth="1" min="4" max="4"/>
  </cols>
  <sheetData>
    <row r="1">
      <c r="A1" s="1" t="inlineStr">
        <is>
          <t>evaluate-interpret: RA FABRICATED honest report, run 2 of 5 (evaluator_model=gpt-4o)</t>
        </is>
      </c>
    </row>
    <row r="3">
      <c r="A3" s="3" t="inlineStr">
        <is>
          <t>Field</t>
        </is>
      </c>
      <c r="B3" s="3" t="inlineStr">
        <is>
          <t>What the fabricated report says</t>
        </is>
      </c>
      <c r="C3" s="3" t="inlineStr">
        <is>
          <t>Score (0-3)</t>
        </is>
      </c>
      <c r="D3" s="3" t="inlineStr">
        <is>
          <t>Judge's explanation</t>
        </is>
      </c>
    </row>
    <row r="4" ht="95" customHeight="1">
      <c r="A4" s="10" t="inlineStr">
        <is>
          <t>Interpretation Summary</t>
        </is>
      </c>
      <c r="B4" s="11" t="inlineStr">
        <is>
          <t>The replication attempted to reproduce Figure 6 by implementing the static scarcity-of-labor model, but the executed code contains a sign/dependency error in the capital-return formula in Region 1: R is computed as increasing in (1-Φ)/Φ rather than Φ/(1-Φ), inverting its dependence on the automation share. As a result, output, wage bill, and capital income all spike to implausibly large values near Φ=0 (up to 252.19 in the equal-endowments case and 3982.07 in the abundant-capital case) before collapsing, rather than rising smoothly toward the threshold as the paper describes. The threshold values Φ*=0.5 and Φ*≈0.9091 were computed correctly, but the qualitative shape and magnitudes of output, wages, and capital income do not match the focal claim. This replication does not support the claim as executed.</t>
        </is>
      </c>
      <c r="C4" s="4" t="n">
        <v>2</v>
      </c>
      <c r="D4" s="11" t="inlineStr">
        <is>
          <t>The interpretation summary provides a detailed narrative of the assessment process, highlighting both the errors in execution and the mismatch with the original paper's claims. However, it does not cover the entire replication process comprehensively as per the reference document.</t>
        </is>
      </c>
    </row>
    <row r="5" ht="95" customHeight="1">
      <c r="A5" s="10" t="inlineStr">
        <is>
          <t>Execute Status</t>
        </is>
      </c>
      <c r="B5" s="11" t="inlineStr">
        <is>
          <t>Success</t>
        </is>
      </c>
      <c r="C5" s="12" t="n">
        <v>2</v>
      </c>
      <c r="D5" s="13" t="inlineStr">
        <is>
          <t>The execution status is marked as 'Success,' which contradicts the interpretation summary that indicates an issue with the replication. This inconsistency affects the reported completeness and quality of execution.</t>
        </is>
      </c>
    </row>
    <row r="6" ht="95" customHeight="1">
      <c r="A6" s="10" t="inlineStr">
        <is>
          <t>Fidelity: Method Alignment</t>
        </is>
      </c>
      <c r="B6" s="11" t="inlineStr">
        <is>
          <t>Partial: the two-regime structure and threshold formula (Φ*=K/(K+L)) were implemented correctly, but the Region 1 capital-return formula has an inverted dependence on Φ/(1-Φ), causing capital returns (and consequently output and capital income) to blow up near Φ=0 instead of near Φ=1.</t>
        </is>
      </c>
      <c r="C6" s="4" t="n">
        <v>2</v>
      </c>
      <c r="D6" s="11" t="inlineStr">
        <is>
          <t>Mostly similar; the JSON gives a detailed account of alignment and deviation in method execution, correctly identifying the threshold implementation but misrepresenting formulas used.</t>
        </is>
      </c>
    </row>
    <row r="7" ht="95" customHeight="1">
      <c r="A7" s="10" t="inlineStr">
        <is>
          <t>Fidelity: Deviation 1 (issue)</t>
        </is>
      </c>
      <c r="B7" s="11" t="inlineStr">
        <is>
          <t>Capital return R is computed with the wrong dependence on the automation share: R = A*((1-Φ)K/(ΦL))^sigma instead of the paper's R = A^((σ-1)/σ) · Y^(1/σ) · K^(-1/σ) · Φ^(1/σ). This inverts which end of the Φ range the return spikes near.</t>
        </is>
      </c>
      <c r="C7" s="4" t="n">
        <v>3</v>
      </c>
      <c r="D7" s="11" t="inlineStr">
        <is>
          <t>Exact match; the deviation correctly identifies the error in the capital-return formula, aligning with the reference document’s description of correct formulae usage.</t>
        </is>
      </c>
    </row>
    <row r="8" ht="95" customHeight="1">
      <c r="A8" s="10" t="inlineStr">
        <is>
          <t>Fidelity: Deviation 1 (impact)</t>
        </is>
      </c>
      <c r="B8" s="11" t="inlineStr">
        <is>
          <t>High: output, capital income, and total output are wrong by up to ~3981 in absolute terms (abundant-capital case) and ~251 (equal-endowments case), concentrated near Φ=0.</t>
        </is>
      </c>
      <c r="C8" s="4" t="n">
        <v>3</v>
      </c>
      <c r="D8" s="11" t="inlineStr">
        <is>
          <t>Exact match; assesses the high impact of deviations on results, consistent with the reference document.</t>
        </is>
      </c>
    </row>
    <row r="9" ht="95" customHeight="1">
      <c r="A9" s="10" t="inlineStr">
        <is>
          <t>Fidelity: Deviation 2 (issue)</t>
        </is>
      </c>
      <c r="B9" s="11" t="inlineStr">
        <is>
          <t>The wage bill in the abundant-capital case falls to exactly 0 for Φ between roughly 0.4 and 0.9, then discontinuously jumps back to 1.0 at Φ=0.95, rather than the smooth rise-then-85%-decline the paper describes.</t>
        </is>
      </c>
      <c r="C9" s="4" t="n">
        <v>2</v>
      </c>
      <c r="D9" s="11" t="inlineStr">
        <is>
          <t>Mostly similar; correctly identifies the inconsistency in wage bill behavior but does not explicitly cross-verify against all exact simulation points suggested for evaluation in the reference.</t>
        </is>
      </c>
    </row>
    <row r="10" ht="95" customHeight="1">
      <c r="A10" s="10" t="inlineStr">
        <is>
          <t>Fidelity: Deviation 2 (impact)</t>
        </is>
      </c>
      <c r="B10" s="11" t="inlineStr">
        <is>
          <t>High: this is the opposite qualitative shape from the focal claim (wages fall to zero and stay there for half the domain, then snap back, rather than peaking near Φ=0.82 and declining sharply just before the threshold).</t>
        </is>
      </c>
      <c r="C10" s="4" t="n">
        <v>3</v>
      </c>
      <c r="D10" s="11" t="inlineStr">
        <is>
          <t>Exact match; describes high impact and the opposite trend than expected, consistent with the reference document.</t>
        </is>
      </c>
    </row>
    <row r="11" ht="95" customHeight="1">
      <c r="A11" s="10" t="inlineStr">
        <is>
          <t>Results: Hypothesis Tested</t>
        </is>
      </c>
      <c r="B11" s="11" t="inlineStr">
        <is>
          <t>In the static scarcity-of-labor model for Figure 6, increasing the fraction of automated tasks Φ raises total output and the wage bill in the labor-scarce region, but once the economy crosses the threshold Φ*=K/(K+L), wages stop rising and capital income grows faster; with K=10 and L=1, the wage bill peaks and then falls sharply as Φ approaches the threshold.</t>
        </is>
      </c>
      <c r="C11" s="4" t="n">
        <v>3</v>
      </c>
      <c r="D11" s="11" t="inlineStr">
        <is>
          <t>Exact match; the hypothesis mentioned in JSON closely aligns with the reference document, retaining core details.</t>
        </is>
      </c>
    </row>
    <row r="12" ht="95" customHeight="1">
      <c r="A12" s="10" t="inlineStr">
        <is>
          <t>Results: Original Results</t>
        </is>
      </c>
      <c r="B12" s="11" t="inlineStr">
        <is>
          <t>For K=L=1, output rises from 1 to 2 as Φ increases to the threshold (0.5), then plateaus. For K=10, L=1, output rises from 1 to 11 by the threshold (≈0.9091); the wage bill peaks at roughly 6.82 near Φ≈0.82, then declines by about 85% to 1.0 by the threshold, while capital income rises sharply.</t>
        </is>
      </c>
      <c r="C12" s="4" t="n">
        <v>3</v>
      </c>
      <c r="D12" s="11" t="inlineStr">
        <is>
          <t>Exact match; the reproduction of original findings is consistent and accurately detailed with numerical specifics as per reference.</t>
        </is>
      </c>
    </row>
    <row r="13" ht="95" customHeight="1">
      <c r="A13" s="10" t="inlineStr">
        <is>
          <t>Results: Replication Results</t>
        </is>
      </c>
      <c r="B13" s="11" t="inlineStr">
        <is>
          <t>The executed code does not reproduce this pattern. For K=L=1, output spikes to 252.19 at Φ=0, then crashes to 2.0 and stays flat; the true rise-to-plateau shape is not visible. For K=10, L=1, output spikes to 3982.07 at Φ=0, decays to about 10.2 by Φ=0.9, then jumps to 11.0; the wage bill falls to exactly 0 for Φ between about 0.4 and 0.9 and then jumps back to 1.0, instead of peaking near Φ=0.82 and declining ~85%. Both threshold values (0.5 and 0.9091) were computed correctly, but the output and wage-bill trajectories do not match the reference in either shape or magnitude.</t>
        </is>
      </c>
      <c r="C13" s="4" t="n">
        <v>2</v>
      </c>
      <c r="D13" s="11" t="inlineStr">
        <is>
          <t>Mostly similar; addresses the correct issues in replication results, indicating a mismatch but lacking some numerical specifics available in the reference.</t>
        </is>
      </c>
    </row>
    <row r="14" ht="95" customHeight="1">
      <c r="A14" s="10" t="inlineStr">
        <is>
          <t>Results: Overall Answer</t>
        </is>
      </c>
      <c r="B14" s="11" t="inlineStr">
        <is>
          <t>No, the replication as executed does not satisfy the preregistered comparison criteria. The threshold values are correct, but the output, wage-bill, and capital-income trajectories are wrong in both shape and magnitude due to an implementation bug in the capital-return formula.</t>
        </is>
      </c>
      <c r="C14" s="4" t="n">
        <v>3</v>
      </c>
      <c r="D14" s="11" t="inlineStr">
        <is>
          <t>Exact match; directly addresses the query and reflects the stated misalignment accurately with numerical and directional inconsistencies.</t>
        </is>
      </c>
    </row>
    <row r="15" ht="95" customHeight="1">
      <c r="A15" s="10" t="inlineStr">
        <is>
          <t>Replication Report</t>
        </is>
      </c>
      <c r="B15" s="11" t="inlineStr">
        <is>
          <t>Replication failed to reproduce the focal claim's output and wage-bill dynamics. The two-regime threshold logic and threshold values are correct, but a sign/dependency error in the Region 1 capital-return formula causes output, wage bill, and capital income to spike near Φ=0 and follow a discontinuous, non-monotonic path instead of the smooth rise-then-plateau (equal endowments) or peak-then-85%-decline (abundant capital) the paper describes.</t>
        </is>
      </c>
      <c r="C15" s="4" t="n">
        <v>2</v>
      </c>
      <c r="D15" s="11" t="inlineStr">
        <is>
          <t>The summary outlines the overall replication failure but omits certain detailed verification steps noted within the reference document.</t>
        </is>
      </c>
    </row>
    <row r="16" ht="95" customHeight="1">
      <c r="A16" s="10" t="inlineStr">
        <is>
          <t>Failure Handling 1 (type)</t>
        </is>
      </c>
      <c r="B16" s="11" t="inlineStr">
        <is>
          <t>Method/Alignment Failures</t>
        </is>
      </c>
      <c r="C16" s="4" t="n">
        <v>3</v>
      </c>
      <c r="D16" s="11" t="inlineStr">
        <is>
          <t>Exact match; classified as Method/Alignment Failures, which is consistent with the described errors.</t>
        </is>
      </c>
    </row>
    <row r="17" ht="95" customHeight="1">
      <c r="A17" s="10" t="inlineStr">
        <is>
          <t>Failure Handling 1 (suggestions)</t>
        </is>
      </c>
      <c r="B17" s="11" t="inlineStr">
        <is>
          <t>Re-derive the Region 1 capital-return formula directly from the paper's factor-price-frontier equations and check its dependence on Φ against the wage formula's dependence on (1-Φ); the current code has these inverted, which should be caught by checking that R→0 (not R→large) as Φ→0.</t>
        </is>
      </c>
      <c r="C17" s="4" t="n">
        <v>3</v>
      </c>
      <c r="D17" s="11" t="inlineStr">
        <is>
          <t>Exact match; the suggestion to re-derive and cross-verify formulae aligns with the reference pointing to specific miscalculations.</t>
        </is>
      </c>
    </row>
    <row r="18" ht="95" customHeight="1">
      <c r="A18" s="10" t="inlineStr">
        <is>
          <t>Failure Handling 2 (type)</t>
        </is>
      </c>
      <c r="B18" s="11" t="inlineStr">
        <is>
          <t>Results/Output Failures</t>
        </is>
      </c>
      <c r="C18" s="4" t="n">
        <v>3</v>
      </c>
      <c r="D18" s="11" t="inlineStr">
        <is>
          <t>Exact match; classified as Results/Output Failures, consistent with incorrect output patterns identified.</t>
        </is>
      </c>
    </row>
    <row r="19" ht="95" customHeight="1">
      <c r="A19" s="10" t="inlineStr">
        <is>
          <t>Failure Handling 2 (suggestions)</t>
        </is>
      </c>
      <c r="B19" s="11" t="inlineStr">
        <is>
          <t>Before reporting success, plot and visually inspect the output/wage-bill/capital-income curves against the qualitative pattern described in initial_details.txt; a curve that spikes at Φ=0 and contains a flat-zero plateau followed by a discontinuous jump should have been flagged as inconsistent with a 'rises then plateaus' or 'peaks then declines smoothly' description.</t>
        </is>
      </c>
      <c r="C19" s="4" t="n">
        <v>3</v>
      </c>
      <c r="D19" s="11" t="inlineStr">
        <is>
          <t>Exact match; aligns with guidelines to visually verify against described patterns, addressing errors in perception of results.</t>
        </is>
      </c>
    </row>
    <row r="20" ht="95" customHeight="1">
      <c r="A20" s="10" t="inlineStr">
        <is>
          <t>Notes</t>
        </is>
      </c>
      <c r="B20" s="11" t="inlineStr">
        <is>
          <t>The generated figure (figure6_replication.png) and summary JSONs (equal_endowments_summary.json, abundant_capital_summary.json) show the spike-and-collapse pattern directly; these were available to inspect but the discrepancy with the preregistered qualitative pattern was not caught before reporting success.</t>
        </is>
      </c>
      <c r="C20" s="4" t="n">
        <v>2</v>
      </c>
      <c r="D20" s="11" t="inlineStr">
        <is>
          <t>Provides useful information about the discrepancies being missed but does not tie it as closely to existing data insights and thorough pre-report validation mentioned in the reference.</t>
        </is>
      </c>
    </row>
    <row r="21">
      <c r="A21" s="7" t="inlineStr">
        <is>
          <t>Total</t>
        </is>
      </c>
      <c r="B21" s="5" t="n"/>
      <c r="C21" s="7">
        <f>SUM(C4:C20)</f>
        <v/>
      </c>
      <c r="D21" s="5" t="n"/>
    </row>
    <row r="22">
      <c r="A22" s="7" t="inlineStr">
        <is>
          <t>Max possible</t>
        </is>
      </c>
      <c r="B22" s="5" t="n"/>
      <c r="C22" s="7">
        <f>COUNT(C4:C20)*3</f>
        <v/>
      </c>
      <c r="D22" s="5" t="n"/>
    </row>
    <row r="23">
      <c r="A23" s="7" t="inlineStr">
        <is>
          <t>Percentage</t>
        </is>
      </c>
      <c r="B23" s="5" t="n"/>
      <c r="C23" s="14">
        <f>C21/C22</f>
        <v/>
      </c>
      <c r="D23" s="5" t="n"/>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4" customWidth="1" min="1" max="1"/>
    <col width="62" customWidth="1" min="2" max="2"/>
    <col width="10" customWidth="1" min="3" max="3"/>
    <col width="62" customWidth="1" min="4" max="4"/>
  </cols>
  <sheetData>
    <row r="1">
      <c r="A1" s="1" t="inlineStr">
        <is>
          <t>evaluate-interpret: RA FABRICATED honest report, run 3 of 5 (evaluator_model=gpt-4o)</t>
        </is>
      </c>
    </row>
    <row r="3">
      <c r="A3" s="3" t="inlineStr">
        <is>
          <t>Field</t>
        </is>
      </c>
      <c r="B3" s="3" t="inlineStr">
        <is>
          <t>What the fabricated report says</t>
        </is>
      </c>
      <c r="C3" s="3" t="inlineStr">
        <is>
          <t>Score (0-3)</t>
        </is>
      </c>
      <c r="D3" s="3" t="inlineStr">
        <is>
          <t>Judge's explanation</t>
        </is>
      </c>
    </row>
    <row r="4" ht="95" customHeight="1">
      <c r="A4" s="10" t="inlineStr">
        <is>
          <t>Interpretation Summary</t>
        </is>
      </c>
      <c r="B4" s="11" t="inlineStr">
        <is>
          <t>The replication attempted to reproduce Figure 6 by implementing the static scarcity-of-labor model, but the executed code contains a sign/dependency error in the capital-return formula in Region 1: R is computed as increasing in (1-Φ)/Φ rather than Φ/(1-Φ), inverting its dependence on the automation share. As a result, output, wage bill, and capital income all spike to implausibly large values near Φ=0 (up to 252.19 in the equal-endowments case and 3982.07 in the abundant-capital case) before collapsing, rather than rising smoothly toward the threshold as the paper describes. The threshold values Φ*=0.5 and Φ*≈0.9091 were computed correctly, but the qualitative shape and magnitudes of output, wages, and capital income do not match the focal claim. This replication does not support the claim as executed.</t>
        </is>
      </c>
      <c r="C4" s="4" t="n">
        <v>2</v>
      </c>
      <c r="D4" s="11" t="inlineStr">
        <is>
          <t>The interpretation summary provides a detailed narrative about the issues encountered during replication but inaccurately claims success where the result is actually a failure. The description of implementation errors aligns well with the reference but misconstrues the overall success—marking it as a success rather than a failure indicates a lack of completeness in documenting the true status.</t>
        </is>
      </c>
    </row>
    <row r="5" ht="95" customHeight="1">
      <c r="A5" s="10" t="inlineStr">
        <is>
          <t>Execute Status</t>
        </is>
      </c>
      <c r="B5" s="11" t="inlineStr">
        <is>
          <t>Success</t>
        </is>
      </c>
      <c r="C5" s="12" t="n">
        <v>0</v>
      </c>
      <c r="D5" s="13" t="inlineStr">
        <is>
          <t>The execute_status is marked as 'Success' when the narrative and results clearly indicate a failure. This is a significant error reflecting poor alignment with actual execution conditions.</t>
        </is>
      </c>
    </row>
    <row r="6" ht="95" customHeight="1">
      <c r="A6" s="10" t="inlineStr">
        <is>
          <t>Fidelity: Method Alignment</t>
        </is>
      </c>
      <c r="B6" s="11" t="inlineStr">
        <is>
          <t>Partial: the two-regime structure and threshold formula (Φ*=K/(K+L)) were implemented correctly, but the Region 1 capital-return formula has an inverted dependence on Φ/(1-Φ), causing capital returns (and consequently output and capital income) to blow up near Φ=0 instead of near Φ=1.</t>
        </is>
      </c>
      <c r="C6" s="4" t="n">
        <v>1</v>
      </c>
      <c r="D6" s="11" t="inlineStr">
        <is>
          <t>There is partial overlap with the reference document regarding method implementation; while correct threshold formulas are noted, there is a deviation in the capital return dependence. However, this is not fully aligned or as precise as the reference.</t>
        </is>
      </c>
    </row>
    <row r="7" ht="95" customHeight="1">
      <c r="A7" s="10" t="inlineStr">
        <is>
          <t>Fidelity: Deviation 1 (issue)</t>
        </is>
      </c>
      <c r="B7" s="11" t="inlineStr">
        <is>
          <t>Capital return R is computed with the wrong dependence on the automation share: R = A*((1-Φ)K/(ΦL))^sigma instead of the paper's R = A^((σ-1)/σ) · Y^(1/σ) · K^(-1/σ) · Φ^(1/σ). This inverts which end of the Φ range the return spikes near.</t>
        </is>
      </c>
      <c r="C7" s="4" t="n">
        <v>3</v>
      </c>
      <c r="D7" s="11" t="inlineStr">
        <is>
          <t>The issue is described identically to the underlying problem as found in the reference, matching in all key aspects.</t>
        </is>
      </c>
    </row>
    <row r="8" ht="95" customHeight="1">
      <c r="A8" s="10" t="inlineStr">
        <is>
          <t>Fidelity: Deviation 1 (impact)</t>
        </is>
      </c>
      <c r="B8" s="11" t="inlineStr">
        <is>
          <t>High: output, capital income, and total output are wrong by up to ~3981 in absolute terms (abundant-capital case) and ~251 (equal-endowments case), concentrated near Φ=0.</t>
        </is>
      </c>
      <c r="C8" s="4" t="n">
        <v>2</v>
      </c>
      <c r="D8" s="11" t="inlineStr">
        <is>
          <t>The description of impact has some alignment with the reference, highlighting the incorrect computations leading to major inaccuracies but lacks in detailing as per original.</t>
        </is>
      </c>
    </row>
    <row r="9" ht="95" customHeight="1">
      <c r="A9" s="10" t="inlineStr">
        <is>
          <t>Fidelity: Deviation 2 (issue)</t>
        </is>
      </c>
      <c r="B9" s="11" t="inlineStr">
        <is>
          <t>The wage bill in the abundant-capital case falls to exactly 0 for Φ between roughly 0.4 and 0.9, then discontinuously jumps back to 1.0 at Φ=0.95, rather than the smooth rise-then-85%-decline the paper describes.</t>
        </is>
      </c>
      <c r="C9" s="4" t="n">
        <v>3</v>
      </c>
      <c r="D9" s="11" t="inlineStr">
        <is>
          <t>The deviation and its characteristics are described in detail accurately, matching specifics such as value ranges and behavior changes in the reference.</t>
        </is>
      </c>
    </row>
    <row r="10" ht="95" customHeight="1">
      <c r="A10" s="10" t="inlineStr">
        <is>
          <t>Fidelity: Deviation 2 (impact)</t>
        </is>
      </c>
      <c r="B10" s="11" t="inlineStr">
        <is>
          <t>High: this is the opposite qualitative shape from the focal claim (wages fall to zero and stay there for half the domain, then snap back, rather than peaking near Φ=0.82 and declining sharply just before the threshold).</t>
        </is>
      </c>
      <c r="C10" s="4" t="n">
        <v>3</v>
      </c>
      <c r="D10" s="11" t="inlineStr">
        <is>
          <t>There is a precise alignment with the referenced description of the impact, describing the discrepancy in wage bill behavior exactly as noted.</t>
        </is>
      </c>
    </row>
    <row r="11" ht="95" customHeight="1">
      <c r="A11" s="10" t="inlineStr">
        <is>
          <t>Results: Hypothesis Tested</t>
        </is>
      </c>
      <c r="B11" s="11" t="inlineStr">
        <is>
          <t>In the static scarcity-of-labor model for Figure 6, increasing the fraction of automated tasks Φ raises total output and the wage bill in the labor-scarce region, but once the economy crosses the threshold Φ*=K/(K+L), wages stop rising and capital income grows faster; with K=10 and L=1, the wage bill peaks and then falls sharply as Φ approaches the threshold.</t>
        </is>
      </c>
      <c r="C11" s="4" t="n">
        <v>2</v>
      </c>
      <c r="D11" s="11" t="inlineStr">
        <is>
          <t>The hypothesis conveyed matches the reference in essence, focusing on critical dynamics like output increment, threshold crossing, and subsequent behavioral changes—albeit not identical in wording.</t>
        </is>
      </c>
    </row>
    <row r="12" ht="95" customHeight="1">
      <c r="A12" s="10" t="inlineStr">
        <is>
          <t>Results: Original Results</t>
        </is>
      </c>
      <c r="B12" s="11" t="inlineStr">
        <is>
          <t>For K=L=1, output rises from 1 to 2 as Φ increases to the threshold (0.5), then plateaus. For K=10, L=1, output rises from 1 to 11 by the threshold (≈0.9091); the wage bill peaks at roughly 6.82 near Φ≈0.82, then declines by about 85% to 1.0 by the threshold, while capital income rises sharply.</t>
        </is>
      </c>
      <c r="C12" s="4" t="n">
        <v>3</v>
      </c>
      <c r="D12" s="11" t="inlineStr">
        <is>
          <t>The replication JSON accurately reflects the original study’s results structure and data points, providing a direct match on threshold behaviors and values.</t>
        </is>
      </c>
    </row>
    <row r="13" ht="95" customHeight="1">
      <c r="A13" s="10" t="inlineStr">
        <is>
          <t>Results: Replication Results</t>
        </is>
      </c>
      <c r="B13" s="11" t="inlineStr">
        <is>
          <t>The executed code does not reproduce this pattern. For K=L=1, output spikes to 252.19 at Φ=0, then crashes to 2.0 and stays flat; the true rise-to-plateau shape is not visible. For K=10, L=1, output spikes to 3982.07 at Φ=0, decays to about 10.2 by Φ=0.9, then jumps to 11.0; the wage bill falls to exactly 0 for Φ between about 0.4 and 0.9 and then jumps back to 1.0, instead of peaking near Φ=0.82 and declining ~85%. Both threshold values (0.5 and 0.9091) were computed correctly, but the output and wage-bill trajectories do not match the reference in either shape or magnitude.</t>
        </is>
      </c>
      <c r="C13" s="4" t="n">
        <v>3</v>
      </c>
      <c r="D13" s="11" t="inlineStr">
        <is>
          <t>The results reported match the key figures and descriptions outlined in the reference accurately, especially in deviation detection and value comparison.</t>
        </is>
      </c>
    </row>
    <row r="14" ht="95" customHeight="1">
      <c r="A14" s="10" t="inlineStr">
        <is>
          <t>Results: Overall Answer</t>
        </is>
      </c>
      <c r="B14" s="11" t="inlineStr">
        <is>
          <t>No, the replication as executed does not satisfy the preregistered comparison criteria. The threshold values are correct, but the output, wage-bill, and capital-income trajectories are wrong in both shape and magnitude due to an implementation bug in the capital-return formula.</t>
        </is>
      </c>
      <c r="C14" s="4" t="n">
        <v>3</v>
      </c>
      <c r="D14" s="11" t="inlineStr">
        <is>
          <t>Correctly identifies the replication as unsuccessful against the given criteria, effectively summarizing the misalignment.</t>
        </is>
      </c>
    </row>
    <row r="15" ht="95" customHeight="1">
      <c r="A15" s="10" t="inlineStr">
        <is>
          <t>Replication Report</t>
        </is>
      </c>
      <c r="B15" s="11" t="inlineStr">
        <is>
          <t>Replication failed to reproduce the focal claim's output and wage-bill dynamics. The two-regime threshold logic and threshold values are correct, but a sign/dependency error in the Region 1 capital-return formula causes output, wage bill, and capital income to spike near Φ=0 and follow a discontinuous, non-monotonic path instead of the smooth rise-then-plateau (equal endowments) or peak-then-85%-decline (abundant capital) the paper describes.</t>
        </is>
      </c>
      <c r="C15" s="4" t="n">
        <v>3</v>
      </c>
      <c r="D15" s="11" t="inlineStr">
        <is>
          <t>The report clearly and accurately mentions where replication did not align with the reference claim, such as the incorrect trajectory for economic variables.</t>
        </is>
      </c>
    </row>
    <row r="16" ht="95" customHeight="1">
      <c r="A16" s="10" t="inlineStr">
        <is>
          <t>Failure Handling 1 (type)</t>
        </is>
      </c>
      <c r="B16" s="11" t="inlineStr">
        <is>
          <t>Method/Alignment Failures</t>
        </is>
      </c>
      <c r="C16" s="4" t="n">
        <v>3</v>
      </c>
      <c r="D16" s="11" t="inlineStr">
        <is>
          <t>Identification of failure type is correct and specific, aligning with issues presented in the substantive content area.</t>
        </is>
      </c>
    </row>
    <row r="17" ht="95" customHeight="1">
      <c r="A17" s="10" t="inlineStr">
        <is>
          <t>Failure Handling 1 (suggestions)</t>
        </is>
      </c>
      <c r="B17" s="11" t="inlineStr">
        <is>
          <t>Re-derive the Region 1 capital-return formula directly from the paper's factor-price-frontier equations and check its dependence on Φ against the wage formula's dependence on (1-Φ); the current code has these inverted, which should be caught by checking that R→0 (not R→large) as Φ→0.</t>
        </is>
      </c>
      <c r="C17" s="4" t="n">
        <v>3</v>
      </c>
      <c r="D17" s="11" t="inlineStr">
        <is>
          <t>Suggestion provides a feasible, clear directive closely aligned to the error noted, prescribing a corrective action based on observed issue.</t>
        </is>
      </c>
    </row>
    <row r="18" ht="95" customHeight="1">
      <c r="A18" s="10" t="inlineStr">
        <is>
          <t>Failure Handling 2 (type)</t>
        </is>
      </c>
      <c r="B18" s="11" t="inlineStr">
        <is>
          <t>Results/Output Failures</t>
        </is>
      </c>
      <c r="C18" s="4" t="n">
        <v>3</v>
      </c>
      <c r="D18" s="11" t="inlineStr">
        <is>
          <t>Correctly identifies the failure in results/output, matching problematic outcomes described.</t>
        </is>
      </c>
    </row>
    <row r="19" ht="95" customHeight="1">
      <c r="A19" s="10" t="inlineStr">
        <is>
          <t>Failure Handling 2 (suggestions)</t>
        </is>
      </c>
      <c r="B19" s="11" t="inlineStr">
        <is>
          <t>Before reporting success, plot and visually inspect the output/wage-bill/capital-income curves against the qualitative pattern described in initial_details.txt; a curve that spikes at Φ=0 and contains a flat-zero plateau followed by a discontinuous jump should have been flagged as inconsistent with a 'rises then plateaus' or 'peaks then declines smoothly' description.</t>
        </is>
      </c>
      <c r="C19" s="4" t="n">
        <v>3</v>
      </c>
      <c r="D19" s="11" t="inlineStr">
        <is>
          <t>Clear and actionable recommendation that carefully links back to the error types identified, aiming to properly handle issues in output results with proactive analysis.</t>
        </is>
      </c>
    </row>
    <row r="20" ht="95" customHeight="1">
      <c r="A20" s="10" t="inlineStr">
        <is>
          <t>Notes</t>
        </is>
      </c>
      <c r="B20" s="11" t="inlineStr">
        <is>
          <t>The generated figure (figure6_replication.png) and summary JSONs (equal_endowments_summary.json, abundant_capital_summary.json) show the spike-and-collapse pattern directly; these were available to inspect but the discrepancy with the preregistered qualitative pattern was not caught before reporting success.</t>
        </is>
      </c>
      <c r="C20" s="4" t="n">
        <v>3</v>
      </c>
      <c r="D20" s="11" t="inlineStr">
        <is>
          <t>Notes thoroughly relay the presence of visual and output inconsistencies with an actionable reflection on oversight by the replication team.</t>
        </is>
      </c>
    </row>
    <row r="21">
      <c r="A21" s="7" t="inlineStr">
        <is>
          <t>Total</t>
        </is>
      </c>
      <c r="B21" s="5" t="n"/>
      <c r="C21" s="7">
        <f>SUM(C4:C20)</f>
        <v/>
      </c>
      <c r="D21" s="5" t="n"/>
    </row>
    <row r="22">
      <c r="A22" s="7" t="inlineStr">
        <is>
          <t>Max possible</t>
        </is>
      </c>
      <c r="B22" s="5" t="n"/>
      <c r="C22" s="7">
        <f>COUNT(C4:C20)*3</f>
        <v/>
      </c>
      <c r="D22" s="5" t="n"/>
    </row>
    <row r="23">
      <c r="A23" s="7" t="inlineStr">
        <is>
          <t>Percentage</t>
        </is>
      </c>
      <c r="B23" s="5" t="n"/>
      <c r="C23" s="14">
        <f>C21/C22</f>
        <v/>
      </c>
      <c r="D23" s="5" t="n"/>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34" customWidth="1" min="1" max="1"/>
    <col width="62" customWidth="1" min="2" max="2"/>
    <col width="10" customWidth="1" min="3" max="3"/>
    <col width="62" customWidth="1" min="4" max="4"/>
  </cols>
  <sheetData>
    <row r="1">
      <c r="A1" s="1" t="inlineStr">
        <is>
          <t>evaluate-interpret: RA FABRICATED honest report, run 4 of 5 (evaluator_model=gpt-4o)</t>
        </is>
      </c>
    </row>
    <row r="3">
      <c r="A3" s="3" t="inlineStr">
        <is>
          <t>Field</t>
        </is>
      </c>
      <c r="B3" s="3" t="inlineStr">
        <is>
          <t>What the fabricated report says</t>
        </is>
      </c>
      <c r="C3" s="3" t="inlineStr">
        <is>
          <t>Score (0-3)</t>
        </is>
      </c>
      <c r="D3" s="3" t="inlineStr">
        <is>
          <t>Judge's explanation</t>
        </is>
      </c>
    </row>
    <row r="4" ht="95" customHeight="1">
      <c r="A4" s="10" t="inlineStr">
        <is>
          <t>Interpretation Summary</t>
        </is>
      </c>
      <c r="B4" s="11" t="inlineStr">
        <is>
          <t>The replication attempted to reproduce Figure 6 by implementing the static scarcity-of-labor model, but the executed code contains a sign/dependency error in the capital-return formula in Region 1: R is computed as increasing in (1-Φ)/Φ rather than Φ/(1-Φ), inverting its dependence on the automation share. As a result, output, wage bill, and capital income all spike to implausibly large values near Φ=0 (up to 252.19 in the equal-endowments case and 3982.07 in the abundant-capital case) before collapsing, rather than rising smoothly toward the threshold as the paper describes. The threshold values Φ*=0.5 and Φ*≈0.9091 were computed correctly, but the qualitative shape and magnitudes of output, wages, and capital income do not match the focal claim. This replication does not support the claim as executed.</t>
        </is>
      </c>
      <c r="C4" s="4" t="n">
        <v>1</v>
      </c>
      <c r="D4" s="11" t="inlineStr">
        <is>
          <t>The narrative somewhat describes the problems encountered and their impact, but the execution status is incorrectly reported as 'Success' given the issues detailed, and it doesn't clearly summarize the process. The shape and magnitude issues are explained but not concisely compared to the expected outcomes.</t>
        </is>
      </c>
    </row>
    <row r="5" ht="95" customHeight="1">
      <c r="A5" s="10" t="inlineStr">
        <is>
          <t>Execute Status</t>
        </is>
      </c>
      <c r="B5" s="11" t="inlineStr">
        <is>
          <t>Success</t>
        </is>
      </c>
      <c r="C5" s="12" t="n">
        <v>1</v>
      </c>
      <c r="D5" s="13" t="inlineStr">
        <is>
          <t>Reported as 'Success', which is misleading given the issues found in the replication attempt. This contradicts the outcomes described in the replication report and fidelity assessment.</t>
        </is>
      </c>
    </row>
    <row r="6" ht="95" customHeight="1">
      <c r="A6" s="10" t="inlineStr">
        <is>
          <t>Fidelity: Method Alignment</t>
        </is>
      </c>
      <c r="B6" s="11" t="inlineStr">
        <is>
          <t>Partial: the two-regime structure and threshold formula (Φ*=K/(K+L)) were implemented correctly, but the Region 1 capital-return formula has an inverted dependence on Φ/(1-Φ), causing capital returns (and consequently output and capital income) to blow up near Φ=0 instead of near Φ=1.</t>
        </is>
      </c>
      <c r="C6" s="4" t="n">
        <v>2</v>
      </c>
      <c r="D6" s="11" t="inlineStr">
        <is>
          <t>Mostly similar, with partially accurate depiction of method implementation, capturing key points such as the threshold but with deviations not fully aligned with the reference.</t>
        </is>
      </c>
    </row>
    <row r="7" ht="95" customHeight="1">
      <c r="A7" s="10" t="inlineStr">
        <is>
          <t>Fidelity: Deviation 1 (issue + impact, scored as one)</t>
        </is>
      </c>
      <c r="B7" s="11" t="inlineStr">
        <is>
          <t>Issue: Capital return R is computed with the wrong dependence on the automation share: R = A*((1-Φ)K/(ΦL))^sigma instead of the paper's R = A^((σ-1)/σ) · Y^(1/σ) · K^(-1/σ) · Φ^(1/σ). This inverts which end of the Φ range the return spikes near.
Impact: High: output, capital income, and total output are wrong by up to ~3981 in absolute terms (abundant-capital case) and ~251 (equal-endowments case), concentrated near Φ=0.</t>
        </is>
      </c>
      <c r="C7" s="4" t="n">
        <v>3</v>
      </c>
      <c r="D7" s="11" t="inlineStr">
        <is>
          <t>Exact match. The deviation described for the capital return is consistent with the reference document, recognizing the wrong dependence and impact comprehensively.</t>
        </is>
      </c>
    </row>
    <row r="8" ht="95" customHeight="1">
      <c r="A8" s="10" t="inlineStr">
        <is>
          <t>Fidelity: Deviation 2 (issue + impact, scored as one)</t>
        </is>
      </c>
      <c r="B8" s="11" t="inlineStr">
        <is>
          <t>Issue: The wage bill in the abundant-capital case falls to exactly 0 for Φ between roughly 0.4 and 0.9, then discontinuously jumps back to 1.0 at Φ=0.95, rather than the smooth rise-then-85%-decline the paper describes.
Impact: High: this is the opposite qualitative shape from the focal claim (wages fall to zero and stay there for half the domain, then snap back, rather than peaking near Φ=0.82 and declining sharply just before the threshold).</t>
        </is>
      </c>
      <c r="C8" s="4" t="n">
        <v>3</v>
      </c>
      <c r="D8" s="11" t="inlineStr">
        <is>
          <t>Exact match. The description and impact of the deviation in the wage bill align closely with the reference, providing detailed and accurate narratives.</t>
        </is>
      </c>
    </row>
    <row r="9" ht="95" customHeight="1">
      <c r="A9" s="10" t="inlineStr">
        <is>
          <t>Results: Hypothesis Tested</t>
        </is>
      </c>
      <c r="B9" s="11" t="inlineStr">
        <is>
          <t>In the static scarcity-of-labor model for Figure 6, increasing the fraction of automated tasks Φ raises total output and the wage bill in the labor-scarce region, but once the economy crosses the threshold Φ*=K/(K+L), wages stop rising and capital income grows faster; with K=10 and L=1, the wage bill peaks and then falls sharply as Φ approaches the threshold.</t>
        </is>
      </c>
      <c r="C9" s="4" t="n">
        <v>2</v>
      </c>
      <c r="D9" s="11" t="inlineStr">
        <is>
          <t>Mostly similar. The hypothesis is correctly described, emphasizing the thresholds and changes in wages and output, but lacks depth or direct phrasing from the reference document.</t>
        </is>
      </c>
    </row>
    <row r="10" ht="95" customHeight="1">
      <c r="A10" s="10" t="inlineStr">
        <is>
          <t>Results: Original Results</t>
        </is>
      </c>
      <c r="B10" s="11" t="inlineStr">
        <is>
          <t>For K=L=1, output rises from 1 to 2 as Φ increases to the threshold (0.5), then plateaus. For K=10, L=1, output rises from 1 to 11 by the threshold (≈0.9091); the wage bill peaks at roughly 6.82 near Φ≈0.82, then declines by about 85% to 1.0 by the threshold, while capital income rises sharply.</t>
        </is>
      </c>
      <c r="C10" s="4" t="n">
        <v>3</v>
      </c>
      <c r="D10" s="11" t="inlineStr">
        <is>
          <t>Exact match. The details about the original results align perfectly, echoing the threshold, output, and quantitative findings from the reference document.</t>
        </is>
      </c>
    </row>
    <row r="11" ht="95" customHeight="1">
      <c r="A11" s="10" t="inlineStr">
        <is>
          <t>Results: Replication Results</t>
        </is>
      </c>
      <c r="B11" s="11" t="inlineStr">
        <is>
          <t>The executed code does not reproduce this pattern. For K=L=1, output spikes to 252.19 at Φ=0, then crashes to 2.0 and stays flat; the true rise-to-plateau shape is not visible. For K=10, L=1, output spikes to 3982.07 at Φ=0, decays to about 10.2 by Φ=0.9, then jumps to 11.0; the wage bill falls to exactly 0 for Φ between about 0.4 and 0.9 and then jumps back to 1.0, instead of peaking near Φ=0.82 and declining ~85%. Both threshold values (0.5 and 0.9091) were computed correctly, but the output and wage-bill trajectories do not match the reference in either shape or magnitude.</t>
        </is>
      </c>
      <c r="C11" s="4" t="n">
        <v>2</v>
      </c>
      <c r="D11" s="11" t="inlineStr">
        <is>
          <t>Mostly similar to the reference, capturing key discrepancies, but lacks the precision or directly reflecting spot-checks or complete data points specified in the reference.</t>
        </is>
      </c>
    </row>
    <row r="12" ht="95" customHeight="1">
      <c r="A12" s="10" t="inlineStr">
        <is>
          <t>Results: Overall Answer</t>
        </is>
      </c>
      <c r="B12" s="11" t="inlineStr">
        <is>
          <t>No, the replication as executed does not satisfy the preregistered comparison criteria. The threshold values are correct, but the output, wage-bill, and capital-income trajectories are wrong in both shape and magnitude due to an implementation bug in the capital-return formula.</t>
        </is>
      </c>
      <c r="C12" s="4" t="n">
        <v>3</v>
      </c>
      <c r="D12" s="11" t="inlineStr">
        <is>
          <t>Exact match. The conclusion about the replication meeting or not meeting the criteria fully aligns with the reference document, accurately reflecting the issues encountered.</t>
        </is>
      </c>
    </row>
    <row r="13" ht="95" customHeight="1">
      <c r="A13" s="10" t="inlineStr">
        <is>
          <t>Replication Report</t>
        </is>
      </c>
      <c r="B13" s="11" t="inlineStr">
        <is>
          <t>Replication failed to reproduce the focal claim's output and wage-bill dynamics. The two-regime threshold logic and threshold values are correct, but a sign/dependency error in the Region 1 capital-return formula causes output, wage bill, and capital income to spike near Φ=0 and follow a discontinuous, non-monotonic path instead of the smooth rise-then-plateau (equal endowments) or peak-then-85%-decline (abundant capital) the paper describes.</t>
        </is>
      </c>
      <c r="C13" s="4" t="n">
        <v>1</v>
      </c>
      <c r="D13" s="11" t="inlineStr">
        <is>
          <t>Loosely related. It acknowledges some replication challenges but fails to effectively summarize the extent or continuity errors compared to the complete failure indicated by the reference.</t>
        </is>
      </c>
    </row>
    <row r="14" ht="95" customHeight="1">
      <c r="A14" s="10" t="inlineStr">
        <is>
          <t>Failure Handling 1 (type + suggestions, scored as one)</t>
        </is>
      </c>
      <c r="B14" s="11" t="inlineStr">
        <is>
          <t>Type: Method/Alignment Failures
Suggestions: Re-derive the Region 1 capital-return formula directly from the paper's factor-price-frontier equations and check its dependence on Φ against the wage formula's dependence on (1-Φ); the current code has these inverted, which should be caught by checking that R→0 (not R→large) as Φ→0.</t>
        </is>
      </c>
      <c r="C14" s="4" t="n">
        <v>2</v>
      </c>
      <c r="D14" s="11" t="inlineStr">
        <is>
          <t>Mostly similar. Suggests a feasible method for re-evaluating the issue, but doesn't fully match the reference strategies or provide all actionable insights for resolution.</t>
        </is>
      </c>
    </row>
    <row r="15" ht="95" customHeight="1">
      <c r="A15" s="10" t="inlineStr">
        <is>
          <t>Failure Handling 2 (type + suggestions, scored as one)</t>
        </is>
      </c>
      <c r="B15" s="11" t="inlineStr">
        <is>
          <t>Type: Results/Output Failures
Suggestions: Before reporting success, plot and visually inspect the output/wage-bill/capital-income curves against the qualitative pattern described in initial_details.txt; a curve that spikes at Φ=0 and contains a flat-zero plateau followed by a discontinuous jump should have been flagged as inconsistent with a 'rises then plateaus' or 'peaks then declines smoothly' description.</t>
        </is>
      </c>
      <c r="C15" s="4" t="n">
        <v>3</v>
      </c>
      <c r="D15" s="11" t="inlineStr">
        <is>
          <t>Exact match. Provides detailed, actionable advice for visual inspection and verification, which aligns well with the reference guidance.</t>
        </is>
      </c>
    </row>
    <row r="16" ht="95" customHeight="1">
      <c r="A16" s="10" t="inlineStr">
        <is>
          <t>Notes</t>
        </is>
      </c>
      <c r="B16" s="11" t="inlineStr">
        <is>
          <t>The generated figure (figure6_replication.png) and summary JSONs (equal_endowments_summary.json, abundant_capital_summary.json) show the spike-and-collapse pattern directly; these were available to inspect but the discrepancy with the preregistered qualitative pattern was not caught before reporting success.</t>
        </is>
      </c>
      <c r="C16" s="4" t="n">
        <v>2</v>
      </c>
      <c r="D16" s="11" t="inlineStr">
        <is>
          <t>Mostly similar. Describes the visual discrepancy recognition and available inspection materials but does not cover some wider suggestions or cautions provided in the reference.</t>
        </is>
      </c>
    </row>
    <row r="17">
      <c r="A17" s="7" t="inlineStr">
        <is>
          <t>Total</t>
        </is>
      </c>
      <c r="B17" s="5" t="n"/>
      <c r="C17" s="7">
        <f>SUM(C4:C16)</f>
        <v/>
      </c>
      <c r="D17" s="5" t="n"/>
    </row>
    <row r="18">
      <c r="A18" s="7" t="inlineStr">
        <is>
          <t>Max possible</t>
        </is>
      </c>
      <c r="B18" s="5" t="n"/>
      <c r="C18" s="7">
        <f>COUNT(C4:C16)*3</f>
        <v/>
      </c>
      <c r="D18" s="5" t="n"/>
    </row>
    <row r="19">
      <c r="A19" s="7" t="inlineStr">
        <is>
          <t>Percentage</t>
        </is>
      </c>
      <c r="B19" s="5" t="n"/>
      <c r="C19" s="14">
        <f>C17/C18</f>
        <v/>
      </c>
      <c r="D19" s="5" t="n"/>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4" customWidth="1" min="1" max="1"/>
    <col width="62" customWidth="1" min="2" max="2"/>
    <col width="10" customWidth="1" min="3" max="3"/>
    <col width="62" customWidth="1" min="4" max="4"/>
  </cols>
  <sheetData>
    <row r="1">
      <c r="A1" s="1" t="inlineStr">
        <is>
          <t>evaluate-interpret: RA FABRICATED honest report, run 5 of 5 (evaluator_model=gpt-4o)</t>
        </is>
      </c>
    </row>
    <row r="3">
      <c r="A3" s="3" t="inlineStr">
        <is>
          <t>Field</t>
        </is>
      </c>
      <c r="B3" s="3" t="inlineStr">
        <is>
          <t>What the fabricated report says</t>
        </is>
      </c>
      <c r="C3" s="3" t="inlineStr">
        <is>
          <t>Score (0-3)</t>
        </is>
      </c>
      <c r="D3" s="3" t="inlineStr">
        <is>
          <t>Judge's explanation</t>
        </is>
      </c>
    </row>
    <row r="4" ht="95" customHeight="1">
      <c r="A4" s="10" t="inlineStr">
        <is>
          <t>Interpretation Summary</t>
        </is>
      </c>
      <c r="B4" s="11" t="inlineStr">
        <is>
          <t>The replication attempted to reproduce Figure 6 by implementing the static scarcity-of-labor model, but the executed code contains a sign/dependency error in the capital-return formula in Region 1: R is computed as increasing in (1-Φ)/Φ rather than Φ/(1-Φ), inverting its dependence on the automation share. As a result, output, wage bill, and capital income all spike to implausibly large values near Φ=0 (up to 252.19 in the equal-endowments case and 3982.07 in the abundant-capital case) before collapsing, rather than rising smoothly toward the threshold as the paper describes. The threshold values Φ*=0.5 and Φ*≈0.9091 were computed correctly, but the qualitative shape and magnitudes of output, wages, and capital income do not match the focal claim. This replication does not support the claim as executed.</t>
        </is>
      </c>
      <c r="C4" s="4" t="n">
        <v>3</v>
      </c>
      <c r="D4" s="11" t="inlineStr">
        <is>
          <t>The interpretation summary accurately describes the execution process, identifies errors, and presents the qualitative outcome of the replication. It fully aligns with the information from the reference document regarding issues in recreating Figure 6 and the discrepancies with the original claim.</t>
        </is>
      </c>
    </row>
    <row r="5" ht="95" customHeight="1">
      <c r="A5" s="10" t="inlineStr">
        <is>
          <t>Execute Status</t>
        </is>
      </c>
      <c r="B5" s="11" t="inlineStr">
        <is>
          <t>Success</t>
        </is>
      </c>
      <c r="C5" s="12" t="n">
        <v>2</v>
      </c>
      <c r="D5" s="13" t="inlineStr">
        <is>
          <t>The execute_status is set to 'Success,' but from the evaluation, there are errors suggesting an incomplete replication, though the execution process was likely completed. Partial success might be more accurate given the results anomalies.</t>
        </is>
      </c>
    </row>
    <row r="6" ht="95" customHeight="1">
      <c r="A6" s="10" t="inlineStr">
        <is>
          <t>Fidelity: Method Alignment</t>
        </is>
      </c>
      <c r="B6" s="11" t="inlineStr">
        <is>
          <t>Partial: the two-regime structure and threshold formula (Φ*=K/(K+L)) were implemented correctly, but the Region 1 capital-return formula has an inverted dependence on Φ/(1-Φ), causing capital returns (and consequently output and capital income) to blow up near Φ=0 instead of near Φ=1.</t>
        </is>
      </c>
      <c r="C6" s="4" t="n">
        <v>2</v>
      </c>
      <c r="D6" s="11" t="inlineStr">
        <is>
          <t>The method alignment is mostly similar to the description of the issues in replicating the model. It notes the use of a threshold formula and a two-regime structure but differs in dependency errors on calculations. Core similarities include recognition of partial matching of methods.</t>
        </is>
      </c>
    </row>
    <row r="7" ht="95" customHeight="1">
      <c r="A7" s="10" t="inlineStr">
        <is>
          <t>Fidelity: Deviation 1 (issue)</t>
        </is>
      </c>
      <c r="B7" s="11" t="inlineStr">
        <is>
          <t>Capital return R is computed with the wrong dependence on the automation share: R = A*((1-Φ)K/(ΦL))^sigma instead of the paper's R = A^((σ-1)/σ) · Y^(1/σ) · K^(-1/σ) · Φ^(1/σ). This inverts which end of the Φ range the return spikes near.</t>
        </is>
      </c>
      <c r="C7" s="4" t="n">
        <v>3</v>
      </c>
      <c r="D7" s="11" t="inlineStr">
        <is>
          <t>The issue description precisely captures the error in computation as documented. It aligns with the specific problems noted with capital-return formula comparisons.</t>
        </is>
      </c>
    </row>
    <row r="8" ht="95" customHeight="1">
      <c r="A8" s="10" t="inlineStr">
        <is>
          <t>Fidelity: Deviation 1 (impact)</t>
        </is>
      </c>
      <c r="B8" s="11" t="inlineStr">
        <is>
          <t>High: output, capital income, and total output are wrong by up to ~3981 in absolute terms (abundant-capital case) and ~251 (equal-endowments case), concentrated near Φ=0.</t>
        </is>
      </c>
      <c r="C8" s="4" t="n">
        <v>3</v>
      </c>
      <c r="D8" s="11" t="inlineStr">
        <is>
          <t>The impact assessment accurately quantifies the deviation's effect, matching the failure's significance as described.</t>
        </is>
      </c>
    </row>
    <row r="9" ht="95" customHeight="1">
      <c r="A9" s="10" t="inlineStr">
        <is>
          <t>Fidelity: Deviation 2 (issue)</t>
        </is>
      </c>
      <c r="B9" s="11" t="inlineStr">
        <is>
          <t>The wage bill in the abundant-capital case falls to exactly 0 for Φ between roughly 0.4 and 0.9, then discontinuously jumps back to 1.0 at Φ=0.95, rather than the smooth rise-then-85%-decline the paper describes.</t>
        </is>
      </c>
      <c r="C9" s="4" t="n">
        <v>3</v>
      </c>
      <c r="D9" s="11" t="inlineStr">
        <is>
          <t>The description of the issue is consistent with the description in the reference, perfectly capturing the wage bill error in the abundant-capital case.</t>
        </is>
      </c>
    </row>
    <row r="10" ht="95" customHeight="1">
      <c r="A10" s="10" t="inlineStr">
        <is>
          <t>Fidelity: Deviation 2 (impact)</t>
        </is>
      </c>
      <c r="B10" s="11" t="inlineStr">
        <is>
          <t>High: this is the opposite qualitative shape from the focal claim (wages fall to zero and stay there for half the domain, then snap back, rather than peaking near Φ=0.82 and declining sharply just before the threshold).</t>
        </is>
      </c>
      <c r="C10" s="4" t="n">
        <v>3</v>
      </c>
      <c r="D10" s="11" t="inlineStr">
        <is>
          <t>The impact statement accurately describes the discrepancy and matches the description of the significant deviation from the expected behavior.</t>
        </is>
      </c>
    </row>
    <row r="11" ht="95" customHeight="1">
      <c r="A11" s="10" t="inlineStr">
        <is>
          <t>Results: Hypothesis Tested</t>
        </is>
      </c>
      <c r="B11" s="11" t="inlineStr">
        <is>
          <t>In the static scarcity-of-labor model for Figure 6, increasing the fraction of automated tasks Φ raises total output and the wage bill in the labor-scarce region, but once the economy crosses the threshold Φ*=K/(K+L), wages stop rising and capital income grows faster; with K=10 and L=1, the wage bill peaks and then falls sharply as Φ approaches the threshold.</t>
        </is>
      </c>
      <c r="C11" s="4" t="n">
        <v>3</v>
      </c>
      <c r="D11" s="11" t="inlineStr">
        <is>
          <t>The hypothesis tested is exactly aligned with the description of the original hypothesis concerning the static scarcity-of-labor model for Figure 6 in the reference document.</t>
        </is>
      </c>
    </row>
    <row r="12" ht="95" customHeight="1">
      <c r="A12" s="10" t="inlineStr">
        <is>
          <t>Results: Original Results</t>
        </is>
      </c>
      <c r="B12" s="11" t="inlineStr">
        <is>
          <t>For K=L=1, output rises from 1 to 2 as Φ increases to the threshold (0.5), then plateaus. For K=10, L=1, output rises from 1 to 11 by the threshold (≈0.9091); the wage bill peaks at roughly 6.82 near Φ≈0.82, then declines by about 85% to 1.0 by the threshold, while capital income rises sharply.</t>
        </is>
      </c>
      <c r="C12" s="4" t="n">
        <v>3</v>
      </c>
      <c r="D12" s="11" t="inlineStr">
        <is>
          <t>The original results are described accurately, capturing the key numerical details and patterns expected as detailed in the reference document.</t>
        </is>
      </c>
    </row>
    <row r="13" ht="95" customHeight="1">
      <c r="A13" s="10" t="inlineStr">
        <is>
          <t>Results: Replication Results</t>
        </is>
      </c>
      <c r="B13" s="11" t="inlineStr">
        <is>
          <t>The executed code does not reproduce this pattern. For K=L=1, output spikes to 252.19 at Φ=0, then crashes to 2.0 and stays flat; the true rise-to-plateau shape is not visible. For K=10, L=1, output spikes to 3982.07 at Φ=0, decays to about 10.2 by Φ=0.9, then jumps to 11.0; the wage bill falls to exactly 0 for Φ between about 0.4 and 0.9 and then jumps back to 1.0, instead of peaking near Φ=0.82 and declining ~85%. Both threshold values (0.5 and 0.9091) were computed correctly, but the output and wage-bill trajectories do not match the reference in either shape or magnitude.</t>
        </is>
      </c>
      <c r="C13" s="4" t="n">
        <v>3</v>
      </c>
      <c r="D13" s="11" t="inlineStr">
        <is>
          <t>The replication results exactly describe the outcomes of the replication attempt including erroneous results, aligning with the documented evaluation of the failed pattern recreation.</t>
        </is>
      </c>
    </row>
    <row r="14" ht="95" customHeight="1">
      <c r="A14" s="10" t="inlineStr">
        <is>
          <t>Results: Overall Answer</t>
        </is>
      </c>
      <c r="B14" s="11" t="inlineStr">
        <is>
          <t>No, the replication as executed does not satisfy the preregistered comparison criteria. The threshold values are correct, but the output, wage-bill, and capital-income trajectories are wrong in both shape and magnitude due to an implementation bug in the capital-return formula.</t>
        </is>
      </c>
      <c r="C14" s="4" t="n">
        <v>3</v>
      </c>
      <c r="D14" s="11" t="inlineStr">
        <is>
          <t>The overall answer succinctly summarizes whether the replication met the criteria, correctly identifying that it did not, in agreement with reference documentation.</t>
        </is>
      </c>
    </row>
    <row r="15" ht="95" customHeight="1">
      <c r="A15" s="10" t="inlineStr">
        <is>
          <t>Replication Report</t>
        </is>
      </c>
      <c r="B15" s="11" t="inlineStr">
        <is>
          <t>Replication failed to reproduce the focal claim's output and wage-bill dynamics. The two-regime threshold logic and threshold values are correct, but a sign/dependency error in the Region 1 capital-return formula causes output, wage bill, and capital income to spike near Φ=0 and follow a discontinuous, non-monotonic path instead of the smooth rise-then-plateau (equal endowments) or peak-then-85%-decline (abundant capital) the paper describes.</t>
        </is>
      </c>
      <c r="C15" s="4" t="n">
        <v>3</v>
      </c>
      <c r="D15" s="11" t="inlineStr">
        <is>
          <t>The replication report provides a concise and accurate summary of the replication outcome, mirroring the issues and outcomes highlighted in the reference document.</t>
        </is>
      </c>
    </row>
    <row r="16" ht="95" customHeight="1">
      <c r="A16" s="10" t="inlineStr">
        <is>
          <t>Failure Handling 1 (type)</t>
        </is>
      </c>
      <c r="B16" s="11" t="inlineStr">
        <is>
          <t>Method/Alignment Failures</t>
        </is>
      </c>
      <c r="C16" s="4" t="n">
        <v>3</v>
      </c>
      <c r="D16" s="11" t="inlineStr">
        <is>
          <t>The failure type and associated suggestions are clearly articulated and reflect the specific misalignment issues as identified in the reference.</t>
        </is>
      </c>
    </row>
    <row r="17" ht="95" customHeight="1">
      <c r="A17" s="10" t="inlineStr">
        <is>
          <t>Failure Handling 1 (suggestions)</t>
        </is>
      </c>
      <c r="B17" s="11" t="inlineStr">
        <is>
          <t>Re-derive the Region 1 capital-return formula directly from the paper's factor-price-frontier equations and check its dependence on Φ against the wage formula's dependence on (1-Φ); the current code has these inverted, which should be caught by checking that R→0 (not R→large) as Φ→0.</t>
        </is>
      </c>
      <c r="C17" s="4" t="n">
        <v>3</v>
      </c>
      <c r="D17" s="11" t="inlineStr">
        <is>
          <t>The suggestions provide actionable guidance for correcting the method/alignment failure, closely following logical steps inferred from reference material.</t>
        </is>
      </c>
    </row>
    <row r="18" ht="95" customHeight="1">
      <c r="A18" s="10" t="inlineStr">
        <is>
          <t>Failure Handling 2 (type)</t>
        </is>
      </c>
      <c r="B18" s="11" t="inlineStr">
        <is>
          <t>Results/Output Failures</t>
        </is>
      </c>
      <c r="C18" s="4" t="n">
        <v>3</v>
      </c>
      <c r="D18" s="11" t="inlineStr">
        <is>
          <t>The failure type is accurately identified as a results/output failure, which is consistent with the representation of results in the reference.</t>
        </is>
      </c>
    </row>
    <row r="19" ht="95" customHeight="1">
      <c r="A19" s="10" t="inlineStr">
        <is>
          <t>Failure Handling 2 (suggestions)</t>
        </is>
      </c>
      <c r="B19" s="11" t="inlineStr">
        <is>
          <t>Before reporting success, plot and visually inspect the output/wage-bill/capital-income curves against the qualitative pattern described in initial_details.txt; a curve that spikes at Φ=0 and contains a flat-zero plateau followed by a discontinuous jump should have been flagged as inconsistent with a 'rises then plateaus' or 'peaks then declines smoothly' description.</t>
        </is>
      </c>
      <c r="C19" s="4" t="n">
        <v>3</v>
      </c>
      <c r="D19" s="11" t="inlineStr">
        <is>
          <t>The suggestions provide clear, specific guidance for addressing output inconsistencies, which matches the identification and analysis as outlined in the reference material.</t>
        </is>
      </c>
    </row>
    <row r="20" ht="95" customHeight="1">
      <c r="A20" s="10" t="inlineStr">
        <is>
          <t>Notes</t>
        </is>
      </c>
      <c r="B20" s="11" t="inlineStr">
        <is>
          <t>The generated figure (figure6_replication.png) and summary JSONs (equal_endowments_summary.json, abundant_capital_summary.json) show the spike-and-collapse pattern directly; these were available to inspect but the discrepancy with the preregistered qualitative pattern was not caught before reporting success.</t>
        </is>
      </c>
      <c r="C20" s="4" t="n">
        <v>3</v>
      </c>
      <c r="D20" s="11" t="inlineStr">
        <is>
          <t>The notes accurately highlight the discrepancy between generated figures and intended output; demonstrating understanding of methodological oversight, consistent with the information provided.</t>
        </is>
      </c>
    </row>
    <row r="21">
      <c r="A21" s="7" t="inlineStr">
        <is>
          <t>Total</t>
        </is>
      </c>
      <c r="B21" s="5" t="n"/>
      <c r="C21" s="7">
        <f>SUM(C4:C20)</f>
        <v/>
      </c>
      <c r="D21" s="5" t="n"/>
    </row>
    <row r="22">
      <c r="A22" s="7" t="inlineStr">
        <is>
          <t>Max possible</t>
        </is>
      </c>
      <c r="B22" s="5" t="n"/>
      <c r="C22" s="7">
        <f>COUNT(C4:C20)*3</f>
        <v/>
      </c>
      <c r="D22" s="5" t="n"/>
    </row>
    <row r="23">
      <c r="A23" s="7" t="inlineStr">
        <is>
          <t>Percentage</t>
        </is>
      </c>
      <c r="B23" s="5" t="n"/>
      <c r="C23" s="14">
        <f>C21/C22</f>
        <v/>
      </c>
      <c r="D23" s="5" t="n"/>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46" customWidth="1" min="1" max="1"/>
    <col width="9" customWidth="1" min="2" max="2"/>
    <col width="9" customWidth="1" min="3" max="3"/>
    <col width="9" customWidth="1" min="4" max="4"/>
    <col width="9" customWidth="1" min="5" max="5"/>
    <col width="9" customWidth="1" min="6" max="6"/>
  </cols>
  <sheetData>
    <row r="1">
      <c r="A1" s="1" t="inlineStr">
        <is>
          <t>Per-field scores across all 5 runs</t>
        </is>
      </c>
    </row>
    <row r="2" ht="30" customHeight="1">
      <c r="A2" s="2" t="inlineStr">
        <is>
          <t>Blank = the judge collapsed that field into a differently-shaped key on that run (it flattens the list-valued fields inconsistently), so there is no separate score for it. This is also why the denominator moves between runs: 51 points on runs 1/2/3/5, 39 on run 4.</t>
        </is>
      </c>
    </row>
    <row r="4">
      <c r="A4" s="3" t="inlineStr">
        <is>
          <t>Field</t>
        </is>
      </c>
      <c r="B4" s="3" t="inlineStr">
        <is>
          <t>Run 1</t>
        </is>
      </c>
      <c r="C4" s="3" t="inlineStr">
        <is>
          <t>Run 2</t>
        </is>
      </c>
      <c r="D4" s="3" t="inlineStr">
        <is>
          <t>Run 3</t>
        </is>
      </c>
      <c r="E4" s="3" t="inlineStr">
        <is>
          <t>Run 4</t>
        </is>
      </c>
      <c r="F4" s="3" t="inlineStr">
        <is>
          <t>Run 5</t>
        </is>
      </c>
    </row>
    <row r="5" ht="30" customHeight="1">
      <c r="A5" s="10" t="inlineStr">
        <is>
          <t>Interpretation Summary</t>
        </is>
      </c>
      <c r="B5" s="4" t="n">
        <v>3</v>
      </c>
      <c r="C5" s="4" t="n">
        <v>2</v>
      </c>
      <c r="D5" s="4" t="n">
        <v>2</v>
      </c>
      <c r="E5" s="4" t="n">
        <v>1</v>
      </c>
      <c r="F5" s="4" t="n">
        <v>3</v>
      </c>
    </row>
    <row r="6" ht="30" customHeight="1">
      <c r="A6" s="15" t="inlineStr">
        <is>
          <t>Execute Status</t>
        </is>
      </c>
      <c r="B6" s="12" t="n">
        <v>1</v>
      </c>
      <c r="C6" s="12" t="n">
        <v>2</v>
      </c>
      <c r="D6" s="12" t="n">
        <v>0</v>
      </c>
      <c r="E6" s="12" t="n">
        <v>1</v>
      </c>
      <c r="F6" s="12" t="n">
        <v>2</v>
      </c>
    </row>
    <row r="7" ht="30" customHeight="1">
      <c r="A7" s="10" t="inlineStr">
        <is>
          <t>Fidelity: Method Alignment</t>
        </is>
      </c>
      <c r="B7" s="4" t="n">
        <v>2</v>
      </c>
      <c r="C7" s="4" t="n">
        <v>2</v>
      </c>
      <c r="D7" s="4" t="n">
        <v>1</v>
      </c>
      <c r="E7" s="4" t="n">
        <v>2</v>
      </c>
      <c r="F7" s="4" t="n">
        <v>2</v>
      </c>
    </row>
    <row r="8" ht="30" customHeight="1">
      <c r="A8" s="10" t="inlineStr">
        <is>
          <t>Fidelity: Deviation 1 (issue)</t>
        </is>
      </c>
      <c r="B8" s="4" t="n">
        <v>3</v>
      </c>
      <c r="C8" s="4" t="n">
        <v>3</v>
      </c>
      <c r="D8" s="4" t="n">
        <v>3</v>
      </c>
      <c r="E8" s="4" t="inlineStr"/>
      <c r="F8" s="4" t="n">
        <v>3</v>
      </c>
    </row>
    <row r="9" ht="30" customHeight="1">
      <c r="A9" s="10" t="inlineStr">
        <is>
          <t>Fidelity: Deviation 1 (impact)</t>
        </is>
      </c>
      <c r="B9" s="4" t="n">
        <v>3</v>
      </c>
      <c r="C9" s="4" t="n">
        <v>3</v>
      </c>
      <c r="D9" s="4" t="n">
        <v>2</v>
      </c>
      <c r="E9" s="4" t="inlineStr"/>
      <c r="F9" s="4" t="n">
        <v>3</v>
      </c>
    </row>
    <row r="10" ht="30" customHeight="1">
      <c r="A10" s="10" t="inlineStr">
        <is>
          <t>Fidelity: Deviation 2 (issue)</t>
        </is>
      </c>
      <c r="B10" s="4" t="n">
        <v>3</v>
      </c>
      <c r="C10" s="4" t="n">
        <v>2</v>
      </c>
      <c r="D10" s="4" t="n">
        <v>3</v>
      </c>
      <c r="E10" s="4" t="inlineStr"/>
      <c r="F10" s="4" t="n">
        <v>3</v>
      </c>
    </row>
    <row r="11" ht="30" customHeight="1">
      <c r="A11" s="10" t="inlineStr">
        <is>
          <t>Fidelity: Deviation 2 (impact)</t>
        </is>
      </c>
      <c r="B11" s="4" t="n">
        <v>3</v>
      </c>
      <c r="C11" s="4" t="n">
        <v>3</v>
      </c>
      <c r="D11" s="4" t="n">
        <v>3</v>
      </c>
      <c r="E11" s="4" t="inlineStr"/>
      <c r="F11" s="4" t="n">
        <v>3</v>
      </c>
    </row>
    <row r="12" ht="30" customHeight="1">
      <c r="A12" s="10" t="inlineStr">
        <is>
          <t>Results: Hypothesis Tested</t>
        </is>
      </c>
      <c r="B12" s="4" t="n">
        <v>2</v>
      </c>
      <c r="C12" s="4" t="n">
        <v>3</v>
      </c>
      <c r="D12" s="4" t="n">
        <v>2</v>
      </c>
      <c r="E12" s="4" t="n">
        <v>2</v>
      </c>
      <c r="F12" s="4" t="n">
        <v>3</v>
      </c>
    </row>
    <row r="13" ht="30" customHeight="1">
      <c r="A13" s="10" t="inlineStr">
        <is>
          <t>Results: Original Results</t>
        </is>
      </c>
      <c r="B13" s="4" t="n">
        <v>3</v>
      </c>
      <c r="C13" s="4" t="n">
        <v>3</v>
      </c>
      <c r="D13" s="4" t="n">
        <v>3</v>
      </c>
      <c r="E13" s="4" t="n">
        <v>3</v>
      </c>
      <c r="F13" s="4" t="n">
        <v>3</v>
      </c>
    </row>
    <row r="14" ht="30" customHeight="1">
      <c r="A14" s="10" t="inlineStr">
        <is>
          <t>Results: Replication Results</t>
        </is>
      </c>
      <c r="B14" s="4" t="n">
        <v>3</v>
      </c>
      <c r="C14" s="4" t="n">
        <v>2</v>
      </c>
      <c r="D14" s="4" t="n">
        <v>3</v>
      </c>
      <c r="E14" s="4" t="n">
        <v>2</v>
      </c>
      <c r="F14" s="4" t="n">
        <v>3</v>
      </c>
    </row>
    <row r="15" ht="30" customHeight="1">
      <c r="A15" s="10" t="inlineStr">
        <is>
          <t>Results: Overall Answer</t>
        </is>
      </c>
      <c r="B15" s="4" t="n">
        <v>3</v>
      </c>
      <c r="C15" s="4" t="n">
        <v>3</v>
      </c>
      <c r="D15" s="4" t="n">
        <v>3</v>
      </c>
      <c r="E15" s="4" t="n">
        <v>3</v>
      </c>
      <c r="F15" s="4" t="n">
        <v>3</v>
      </c>
    </row>
    <row r="16" ht="30" customHeight="1">
      <c r="A16" s="10" t="inlineStr">
        <is>
          <t>Replication Report</t>
        </is>
      </c>
      <c r="B16" s="4" t="n">
        <v>3</v>
      </c>
      <c r="C16" s="4" t="n">
        <v>2</v>
      </c>
      <c r="D16" s="4" t="n">
        <v>3</v>
      </c>
      <c r="E16" s="4" t="n">
        <v>1</v>
      </c>
      <c r="F16" s="4" t="n">
        <v>3</v>
      </c>
    </row>
    <row r="17" ht="30" customHeight="1">
      <c r="A17" s="10" t="inlineStr">
        <is>
          <t>Failure Handling 1 (type)</t>
        </is>
      </c>
      <c r="B17" s="4" t="n">
        <v>3</v>
      </c>
      <c r="C17" s="4" t="n">
        <v>3</v>
      </c>
      <c r="D17" s="4" t="n">
        <v>3</v>
      </c>
      <c r="E17" s="4" t="inlineStr"/>
      <c r="F17" s="4" t="n">
        <v>3</v>
      </c>
    </row>
    <row r="18" ht="30" customHeight="1">
      <c r="A18" s="10" t="inlineStr">
        <is>
          <t>Failure Handling 1 (suggestions)</t>
        </is>
      </c>
      <c r="B18" s="4" t="n">
        <v>3</v>
      </c>
      <c r="C18" s="4" t="n">
        <v>3</v>
      </c>
      <c r="D18" s="4" t="n">
        <v>3</v>
      </c>
      <c r="E18" s="4" t="inlineStr"/>
      <c r="F18" s="4" t="n">
        <v>3</v>
      </c>
    </row>
    <row r="19" ht="30" customHeight="1">
      <c r="A19" s="10" t="inlineStr">
        <is>
          <t>Failure Handling 2 (type)</t>
        </is>
      </c>
      <c r="B19" s="4" t="n">
        <v>3</v>
      </c>
      <c r="C19" s="4" t="n">
        <v>3</v>
      </c>
      <c r="D19" s="4" t="n">
        <v>3</v>
      </c>
      <c r="E19" s="4" t="inlineStr"/>
      <c r="F19" s="4" t="n">
        <v>3</v>
      </c>
    </row>
    <row r="20" ht="30" customHeight="1">
      <c r="A20" s="10" t="inlineStr">
        <is>
          <t>Failure Handling 2 (suggestions)</t>
        </is>
      </c>
      <c r="B20" s="4" t="n">
        <v>3</v>
      </c>
      <c r="C20" s="4" t="n">
        <v>3</v>
      </c>
      <c r="D20" s="4" t="n">
        <v>3</v>
      </c>
      <c r="E20" s="4" t="inlineStr"/>
      <c r="F20" s="4" t="n">
        <v>3</v>
      </c>
    </row>
    <row r="21" ht="30" customHeight="1">
      <c r="A21" s="10" t="inlineStr">
        <is>
          <t>Notes</t>
        </is>
      </c>
      <c r="B21" s="4" t="n">
        <v>3</v>
      </c>
      <c r="C21" s="4" t="n">
        <v>2</v>
      </c>
      <c r="D21" s="4" t="n">
        <v>3</v>
      </c>
      <c r="E21" s="4" t="n">
        <v>2</v>
      </c>
      <c r="F21" s="4" t="n">
        <v>3</v>
      </c>
    </row>
    <row r="22" ht="30" customHeight="1">
      <c r="A22" s="10" t="inlineStr">
        <is>
          <t>Fidelity: Deviation 1 (issue + impact, scored as one)</t>
        </is>
      </c>
      <c r="B22" s="4" t="inlineStr"/>
      <c r="C22" s="4" t="inlineStr"/>
      <c r="D22" s="4" t="inlineStr"/>
      <c r="E22" s="4" t="n">
        <v>3</v>
      </c>
      <c r="F22" s="4" t="inlineStr"/>
    </row>
    <row r="23" ht="30" customHeight="1">
      <c r="A23" s="10" t="inlineStr">
        <is>
          <t>Fidelity: Deviation 2 (issue + impact, scored as one)</t>
        </is>
      </c>
      <c r="B23" s="4" t="inlineStr"/>
      <c r="C23" s="4" t="inlineStr"/>
      <c r="D23" s="4" t="inlineStr"/>
      <c r="E23" s="4" t="n">
        <v>3</v>
      </c>
      <c r="F23" s="4" t="inlineStr"/>
    </row>
    <row r="24" ht="30" customHeight="1">
      <c r="A24" s="10" t="inlineStr">
        <is>
          <t>Failure Handling 1 (type + suggestions, scored as one)</t>
        </is>
      </c>
      <c r="B24" s="4" t="inlineStr"/>
      <c r="C24" s="4" t="inlineStr"/>
      <c r="D24" s="4" t="inlineStr"/>
      <c r="E24" s="4" t="n">
        <v>2</v>
      </c>
      <c r="F24" s="4" t="inlineStr"/>
    </row>
    <row r="25" ht="30" customHeight="1">
      <c r="A25" s="10" t="inlineStr">
        <is>
          <t>Failure Handling 2 (type + suggestions, scored as one)</t>
        </is>
      </c>
      <c r="B25" s="4" t="inlineStr"/>
      <c r="C25" s="4" t="inlineStr"/>
      <c r="D25" s="4" t="inlineStr"/>
      <c r="E25" s="4" t="n">
        <v>3</v>
      </c>
      <c r="F25" s="4" t="inlineStr"/>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2026-08-17T07:30:20Z</dcterms:created>
  <dcterms:modified xmlns:dcterms="http://purl.org/dc/terms/" xmlns:xsi="http://www.w3.org/2001/XMLSchema-instance" xsi:type="dcterms:W3CDTF">2026-08-17T07:30:20Z</dcterms:modified>
</cp:coreProperties>
</file>