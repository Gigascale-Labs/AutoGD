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heet" sheetId="2" state="visible" r:id="rId2"/>
    <sheet xmlns:r="http://schemas.openxmlformats.org/officeDocument/2006/relationships" name="RA 1" sheetId="3" state="visible" r:id="rId3"/>
    <sheet xmlns:r="http://schemas.openxmlformats.org/officeDocument/2006/relationships" name="RA 2" sheetId="4" state="visible" r:id="rId4"/>
    <sheet xmlns:r="http://schemas.openxmlformats.org/officeDocument/2006/relationships" name="RA 3" sheetId="5" state="visible" r:id="rId5"/>
    <sheet xmlns:r="http://schemas.openxmlformats.org/officeDocument/2006/relationships" name="Codex 1" sheetId="6" state="visible" r:id="rId6"/>
    <sheet xmlns:r="http://schemas.openxmlformats.org/officeDocument/2006/relationships" name="Codex 2" sheetId="7" state="visible" r:id="rId7"/>
    <sheet xmlns:r="http://schemas.openxmlformats.org/officeDocument/2006/relationships" name="Codex 3"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sz val="14"/>
    </font>
    <font>
      <name val="Arial"/>
      <b val="1"/>
      <color rgb="00FFFFFF"/>
    </font>
    <font>
      <name val="Arial"/>
      <b val="1"/>
    </font>
    <font>
      <name val="Arial"/>
      <sz val="10"/>
    </font>
    <font>
      <name val="Arial"/>
      <i val="1"/>
      <color rgb="00666666"/>
      <sz val="9"/>
    </font>
  </fonts>
  <fills count="3">
    <fill>
      <patternFill/>
    </fill>
    <fill>
      <patternFill patternType="gray125"/>
    </fill>
    <fill>
      <patternFill patternType="solid">
        <fgColor rgb="002A609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0" borderId="0" pivotButton="0" quotePrefix="0" xfId="0"/>
    <xf numFmtId="0" fontId="5" fillId="0" borderId="0" pivotButton="0" quotePrefix="0" xfId="0"/>
    <xf numFmtId="0" fontId="2" fillId="2" borderId="1" applyAlignment="1" pivotButton="0" quotePrefix="0" xfId="0">
      <alignment horizontal="center" vertical="center" wrapText="1"/>
    </xf>
    <xf numFmtId="0" fontId="4" fillId="0" borderId="1" pivotButton="0" quotePrefix="0" xfId="0"/>
    <xf numFmtId="0" fontId="0" fillId="0" borderId="1" pivotButton="0" quotePrefix="0" xfId="0"/>
    <xf numFmtId="164" fontId="0" fillId="0" borderId="1" pivotButton="0" quotePrefix="0" xfId="0"/>
    <xf numFmtId="0" fontId="3" fillId="0" borderId="0" pivotButton="0" quotePrefix="0" xfId="0"/>
    <xf numFmtId="0" fontId="3" fillId="0" borderId="1" pivotButton="0" quotePrefix="0" xfId="0"/>
    <xf numFmtId="0" fontId="4" fillId="0" borderId="1" applyAlignment="1" pivotButton="0" quotePrefix="0" xfId="0">
      <alignment vertical="top" wrapText="1"/>
    </xf>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2" customWidth="1" min="1" max="1"/>
    <col width="22" customWidth="1" min="2" max="2"/>
    <col width="18" customWidth="1" min="3" max="3"/>
    <col width="14" customWidth="1" min="4" max="4"/>
  </cols>
  <sheetData>
    <row r="1">
      <c r="A1" s="1" t="inlineStr">
        <is>
          <t>evaluate-interpret: RA (Task A) vs Codex (Task B), gpt-5.4-mini judge, 3 runs each</t>
        </is>
      </c>
    </row>
    <row r="2" ht="28" customHeight="1">
      <c r="A2" s="2" t="inlineStr">
        <is>
          <t>Task A = ReplicatorAgent hard tier (wrong implementation). Task B = Codex fresh run (correct implementation). Both graded against gt/human_report.docx. RA 2 used a different judge JSON schema (list-based deviations/failure_handling with one score per item) instead of the usual indexed field format; handled in its tab, field labels note this.</t>
        </is>
      </c>
    </row>
    <row r="4">
      <c r="A4" s="3" t="inlineStr">
        <is>
          <t>Run</t>
        </is>
      </c>
      <c r="B4" s="3" t="inlineStr">
        <is>
          <t>Task</t>
        </is>
      </c>
      <c r="C4" s="3" t="inlineStr">
        <is>
          <t>Total score</t>
        </is>
      </c>
      <c r="D4" s="3" t="inlineStr">
        <is>
          <t>Percentage</t>
        </is>
      </c>
    </row>
    <row r="5">
      <c r="A5" s="4" t="inlineStr">
        <is>
          <t>RA 1</t>
        </is>
      </c>
      <c r="B5" s="4" t="inlineStr">
        <is>
          <t>Task A (RA)</t>
        </is>
      </c>
      <c r="C5" s="5">
        <f>'RA 1'!C21&amp;"/"&amp;'RA 1'!C22</f>
        <v/>
      </c>
      <c r="D5" s="6">
        <f>'RA 1'!C23</f>
        <v/>
      </c>
    </row>
    <row r="6">
      <c r="A6" s="4" t="inlineStr">
        <is>
          <t>RA 2</t>
        </is>
      </c>
      <c r="B6" s="4" t="inlineStr">
        <is>
          <t>Task A (RA)</t>
        </is>
      </c>
      <c r="C6" s="5">
        <f>'RA 2'!C17&amp;"/"&amp;'RA 2'!C18</f>
        <v/>
      </c>
      <c r="D6" s="6">
        <f>'RA 2'!C19</f>
        <v/>
      </c>
    </row>
    <row r="7">
      <c r="A7" s="4" t="inlineStr">
        <is>
          <t>RA 3</t>
        </is>
      </c>
      <c r="B7" s="4" t="inlineStr">
        <is>
          <t>Task A (RA)</t>
        </is>
      </c>
      <c r="C7" s="5">
        <f>'RA 3'!C21&amp;"/"&amp;'RA 3'!C22</f>
        <v/>
      </c>
      <c r="D7" s="6">
        <f>'RA 3'!C23</f>
        <v/>
      </c>
    </row>
    <row r="8">
      <c r="A8" s="4" t="inlineStr">
        <is>
          <t>Codex 1</t>
        </is>
      </c>
      <c r="B8" s="4" t="inlineStr">
        <is>
          <t>Task B (Codex)</t>
        </is>
      </c>
      <c r="C8" s="5">
        <f>'Codex 1'!C21&amp;"/"&amp;'Codex 1'!C22</f>
        <v/>
      </c>
      <c r="D8" s="6">
        <f>'Codex 1'!C23</f>
        <v/>
      </c>
    </row>
    <row r="9">
      <c r="A9" s="4" t="inlineStr">
        <is>
          <t>Codex 2</t>
        </is>
      </c>
      <c r="B9" s="4" t="inlineStr">
        <is>
          <t>Task B (Codex)</t>
        </is>
      </c>
      <c r="C9" s="5">
        <f>'Codex 2'!C21&amp;"/"&amp;'Codex 2'!C22</f>
        <v/>
      </c>
      <c r="D9" s="6">
        <f>'Codex 2'!C23</f>
        <v/>
      </c>
    </row>
    <row r="10">
      <c r="A10" s="4" t="inlineStr">
        <is>
          <t>Codex 3</t>
        </is>
      </c>
      <c r="B10" s="4" t="inlineStr">
        <is>
          <t>Task B (Codex)</t>
        </is>
      </c>
      <c r="C10" s="5">
        <f>'Codex 3'!C21&amp;"/"&amp;'Codex 3'!C22</f>
        <v/>
      </c>
      <c r="D10" s="6">
        <f>'Codex 3'!C23</f>
        <v/>
      </c>
    </row>
    <row r="12">
      <c r="A12" s="7" t="inlineStr">
        <is>
          <t>Comparison</t>
        </is>
      </c>
    </row>
    <row r="13">
      <c r="A13" s="3" t="inlineStr">
        <is>
          <t>Metric</t>
        </is>
      </c>
      <c r="B13" s="3" t="inlineStr">
        <is>
          <t>Task A (RA)</t>
        </is>
      </c>
      <c r="C13" s="3" t="inlineStr">
        <is>
          <t>Task B (Codex)</t>
        </is>
      </c>
    </row>
    <row r="14">
      <c r="A14" s="4" t="inlineStr">
        <is>
          <t>Median score (%)</t>
        </is>
      </c>
      <c r="B14" s="6">
        <f>MEDIAN(D5:D7)</f>
        <v/>
      </c>
      <c r="C14" s="6">
        <f>MEDIAN(D8:D10)</f>
        <v/>
      </c>
    </row>
    <row r="15">
      <c r="A15" s="4" t="inlineStr">
        <is>
          <t>Mean score (%)</t>
        </is>
      </c>
      <c r="B15" s="6">
        <f>AVERAGE(D5:D7)</f>
        <v/>
      </c>
      <c r="C15" s="6">
        <f>AVERAGE(D8:D10)</f>
        <v/>
      </c>
    </row>
    <row r="16">
      <c r="A16" s="4" t="inlineStr">
        <is>
          <t>Min score (%)</t>
        </is>
      </c>
      <c r="B16" s="6">
        <f>MIN(D5:D7)</f>
        <v/>
      </c>
      <c r="C16" s="6">
        <f>MIN(D8:D10)</f>
        <v/>
      </c>
    </row>
    <row r="17">
      <c r="A17" s="4" t="inlineStr">
        <is>
          <t>Max score (%)</t>
        </is>
      </c>
      <c r="B17" s="6">
        <f>MAX(D5:D7)</f>
        <v/>
      </c>
      <c r="C17" s="6">
        <f>MAX(D8:D10)</f>
        <v/>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4" customWidth="1" min="1" max="1"/>
    <col width="60" customWidth="1" min="2" max="2"/>
    <col width="10" customWidth="1" min="3" max="3"/>
    <col width="60" customWidth="1" min="4" max="4"/>
  </cols>
  <sheetData>
    <row r="1">
      <c r="A1" s="1" t="inlineStr">
        <is>
          <t>evaluate-interpret run: RA 1 (evaluator_model=gpt-5.4-mini)</t>
        </is>
      </c>
    </row>
    <row r="3">
      <c r="A3" s="3" t="inlineStr">
        <is>
          <t>Field</t>
        </is>
      </c>
      <c r="B3" s="3" t="inlineStr">
        <is>
          <t>What the agent wrote (interpret_results.json)</t>
        </is>
      </c>
      <c r="C3" s="3" t="inlineStr">
        <is>
          <t>Score (0-3)</t>
        </is>
      </c>
      <c r="D3" s="3" t="inlineStr">
        <is>
          <t>Judge's explanation</t>
        </is>
      </c>
    </row>
    <row r="4" ht="90" customHeight="1">
      <c r="A4" s="8" t="inlineStr">
        <is>
          <t>Interpretation Summary</t>
        </is>
      </c>
      <c r="B4" s="9"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4" t="n">
        <v>2</v>
      </c>
      <c r="D4" s="9" t="inlineStr">
        <is>
          <t>The summary correctly identifies this as a successful theoretical/model replication of Figure 6 and captures the key qualitative behavior: threshold-based regime change, output plateau in the equal-endowments case, and wage bill decline with rising capital returns in the abundant-capital case. However, it adds implementation details about a dense grid and 'successful model-only reproduction' that are not explicitly needed for the reference comparison, and it omits the specific magnitude of the original claimed decline (about 85%) that is central in the reference.</t>
        </is>
      </c>
    </row>
    <row r="5" ht="90" customHeight="1">
      <c r="A5" s="8" t="inlineStr">
        <is>
          <t>Execute Status</t>
        </is>
      </c>
      <c r="B5" s="9" t="inlineStr">
        <is>
          <t>Success</t>
        </is>
      </c>
      <c r="C5" s="4" t="n">
        <v>3</v>
      </c>
      <c r="D5" s="9" t="inlineStr">
        <is>
          <t>The reported status is 'Success,' which is consistent with the reference indicating the implementation ran correctly and reproduced the intended threshold and qualitative curve shapes.</t>
        </is>
      </c>
    </row>
    <row r="6" ht="90" customHeight="1">
      <c r="A6" s="8" t="inlineStr">
        <is>
          <t>Fidelity: Method Alignment</t>
        </is>
      </c>
      <c r="B6" s="9"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4" t="n">
        <v>2</v>
      </c>
      <c r="D6" s="9" t="inlineStr">
        <is>
          <t>This matches the reference in substance: the agent implemented the static scarcity-of-labor model for the two specified parameter cases and computed the threshold behavior. The reference, however, emphasizes verification against equations in Sections 2.3 and 2.5 and spot-check values around the critical transition, while the report discusses a dense grid and analytical simulation more generally. So the alignment is good but not exact.</t>
        </is>
      </c>
    </row>
    <row r="7" ht="90" customHeight="1">
      <c r="A7" s="8" t="inlineStr">
        <is>
          <t>Fidelity: Deviation 1 (issue)</t>
        </is>
      </c>
      <c r="B7" s="9" t="inlineStr">
        <is>
          <t>The original paper’s Figure 6 is a stylized analytical figure, while the replication computed the same model numerically on a discrete grid.</t>
        </is>
      </c>
      <c r="C7" s="4" t="n">
        <v>2</v>
      </c>
      <c r="D7" s="9" t="inlineStr">
        <is>
          <t>The deviation that Figure 6 was reproduced numerically on a discrete grid rather than as a stylized analytical figure is a real presentational difference, but it does not alter the underlying model behavior. This is mostly consistent with the reference's acceptance of implementation form.</t>
        </is>
      </c>
    </row>
    <row r="8" ht="90" customHeight="1">
      <c r="A8" s="8" t="inlineStr">
        <is>
          <t>Fidelity: Deviation 1 (impact)</t>
        </is>
      </c>
      <c r="B8" s="9" t="inlineStr">
        <is>
          <t>Low: This changes presentation format, not the underlying model behavior or substantive conclusion.</t>
        </is>
      </c>
      <c r="C8" s="4" t="n">
        <v>3</v>
      </c>
      <c r="D8" s="9" t="inlineStr">
        <is>
          <t>The stated impact of 'Low' is appropriate. The reference focuses on threshold, shape, and magnitudes, which are preserved despite the numerical-grid presentation.</t>
        </is>
      </c>
    </row>
    <row r="9" ht="90" customHeight="1">
      <c r="A9" s="8" t="inlineStr">
        <is>
          <t>Fidelity: Deviation 2 (issue)</t>
        </is>
      </c>
      <c r="B9" s="9" t="inlineStr">
        <is>
          <t>No external dataset was used because the claim is theoretical/model-based.</t>
        </is>
      </c>
      <c r="C9" s="4" t="n">
        <v>3</v>
      </c>
      <c r="D9" s="9" t="inlineStr">
        <is>
          <t>The note that no external dataset was used is fully consistent with the reference because the claim is theoretical/model-based and does not require a dataset.</t>
        </is>
      </c>
    </row>
    <row r="10" ht="90" customHeight="1">
      <c r="A10" s="8" t="inlineStr">
        <is>
          <t>Fidelity: Deviation 2 (impact)</t>
        </is>
      </c>
      <c r="B10" s="9" t="inlineStr">
        <is>
          <t>None: This is appropriate for the claim and consistent with the replication plan.</t>
        </is>
      </c>
      <c r="C10" s="4" t="n">
        <v>3</v>
      </c>
      <c r="D10" s="9" t="inlineStr">
        <is>
          <t>The impact 'None' is correct and matches the reference.</t>
        </is>
      </c>
    </row>
    <row r="11" ht="90" customHeight="1">
      <c r="A11" s="8" t="inlineStr">
        <is>
          <t>Results: Hypothesis Tested</t>
        </is>
      </c>
      <c r="B11" s="9"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4" t="n">
        <v>2</v>
      </c>
      <c r="D11" s="9" t="inlineStr">
        <is>
          <t>The hypothesis restates the correct theoretical claim: as automation share rises, output and wages behave according to the threshold regime, with capital income rising faster after the threshold. This is broadly aligned with the reference, though the reference frames the equal-endowments case more specifically as output rising then plateauing and the abundant-capital case as wages rising strongly then dropping sharply by about 85% near the threshold.</t>
        </is>
      </c>
    </row>
    <row r="12" ht="90" customHeight="1">
      <c r="A12" s="8" t="inlineStr">
        <is>
          <t>Results: Original Results</t>
        </is>
      </c>
      <c r="B12" s="9"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4" t="n">
        <v>2</v>
      </c>
      <c r="D12" s="9" t="inlineStr">
        <is>
          <t>The summary captures the main original-paper patterns and the correct threshold values for both cases. However, it does not include the reference's key magnitude for the abundant-capital case: wage bill peaking around 6.8 near Φ=0.82 and then falling to 1.0 by the threshold, about an 85% decline.</t>
        </is>
      </c>
    </row>
    <row r="13" ht="90" customHeight="1">
      <c r="A13" s="8" t="inlineStr">
        <is>
          <t>Results: Replication Results</t>
        </is>
      </c>
      <c r="B13" s="9"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4" t="n">
        <v>2</v>
      </c>
      <c r="D13" s="9" t="inlineStr">
        <is>
          <t>The replication results preserve the essential qualitative findings and the correct thresholds. The equal-endowments case and abundant-capital case both match the expected direction of change. But the numerical ranges reported are not directly comparable to the reference spot-check values and do not report the critical peak wage of about 6.8179 or the 85% decline near the threshold, so this is only mostly similar.</t>
        </is>
      </c>
    </row>
    <row r="14" ht="90" customHeight="1">
      <c r="A14" s="8" t="inlineStr">
        <is>
          <t>Results: Overall Answer</t>
        </is>
      </c>
      <c r="B14" s="9" t="inlineStr">
        <is>
          <t>Yes for the focal theoretical claim; the replication satisfies the preregistered comparison criteria qualitatively.</t>
        </is>
      </c>
      <c r="C14" s="4" t="n">
        <v>3</v>
      </c>
      <c r="D14" s="9" t="inlineStr">
        <is>
          <t>The answer 'Yes for the focal theoretical claim' is consistent with the reference, which says the replication should be judged on whether it conveys the same underlying facts, threshold, shape, and key magnitudes. The report does satisfy the qualitative criterion for the focal claim.</t>
        </is>
      </c>
    </row>
    <row r="15" ht="90" customHeight="1">
      <c r="A15" s="8" t="inlineStr">
        <is>
          <t>Replication Report</t>
        </is>
      </c>
      <c r="B15" s="9" t="inlineStr">
        <is>
          <t>Replication successful: the static scarcity-of-labor model reproduced the expected threshold behavior, with output plateauing in the equal-endowment case and the wage bill peaking then falling in the abundant-capital case.</t>
        </is>
      </c>
      <c r="C15" s="4" t="n">
        <v>2</v>
      </c>
      <c r="D15" s="9" t="inlineStr">
        <is>
          <t>This is a concise and accurate high-level summary of the replication outcome: threshold behavior reproduced, output plateauing in the equal-endowment case, and wage bill peaking then falling in the abundant-capital case. It is correct but omits the specific 85% decline magnitude highlighted in the reference.</t>
        </is>
      </c>
    </row>
    <row r="16" ht="90" customHeight="1">
      <c r="A16" s="8" t="inlineStr">
        <is>
          <t>Failure Handling 1 (type)</t>
        </is>
      </c>
      <c r="B16" s="9" t="inlineStr">
        <is>
          <t>Results/Output Failures</t>
        </is>
      </c>
      <c r="C16" s="4" t="n">
        <v>2</v>
      </c>
      <c r="D16" s="9" t="inlineStr">
        <is>
          <t>Classifying the issue as 'Results/Output Failures' is only partially apt because no substantive failure occurred; the suggestion is more about improving report transparency than fixing an actual output failure. Still, it is a plausible category given the desire for explicit diagnostics.</t>
        </is>
      </c>
    </row>
    <row r="17" ht="90" customHeight="1">
      <c r="A17" s="8" t="inlineStr">
        <is>
          <t>Failure Handling 1 (suggestions)</t>
        </is>
      </c>
      <c r="B17" s="9" t="inlineStr">
        <is>
          <t>No substantive failure occurred, but future replications could report explicit curve-shape diagnostics (e.g., monotonicity checks and threshold-crossing summaries) to make comparison even more transparent.</t>
        </is>
      </c>
      <c r="C17" s="4" t="n">
        <v>2</v>
      </c>
      <c r="D17" s="9" t="inlineStr">
        <is>
          <t>The suggestion to report monotonicity checks and threshold-crossing summaries is feasible and directly tied to the reference criteria emphasizing shape and threshold behavior. It is useful, though not essential.</t>
        </is>
      </c>
    </row>
    <row r="18" ht="90" customHeight="1">
      <c r="A18" s="8" t="inlineStr">
        <is>
          <t>Failure Handling 2 (type)</t>
        </is>
      </c>
      <c r="B18" s="9" t="inlineStr">
        <is>
          <t>Method/Alignment Failures</t>
        </is>
      </c>
      <c r="C18" s="4" t="n">
        <v>2</v>
      </c>
      <c r="D18" s="9" t="inlineStr">
        <is>
          <t>Labeling the advice as 'Method/Alignment Failures' is somewhat overstated because the report indicates full method alignment. However, the suggestion to document the algebraic mapping and compare selected Phi points is aligned with the reference's verification approach.</t>
        </is>
      </c>
    </row>
    <row r="19" ht="90" customHeight="1">
      <c r="A19" s="8" t="inlineStr">
        <is>
          <t>Failure Handling 2 (suggestions)</t>
        </is>
      </c>
      <c r="B19" s="9" t="inlineStr">
        <is>
          <t>If stricter fidelity is desired, document the exact algebraic mapping from the paper’s equations to the code and include a direct comparison against the published figure values at selected Φ points.</t>
        </is>
      </c>
      <c r="C19" s="4" t="n">
        <v>3</v>
      </c>
      <c r="D19" s="9" t="inlineStr">
        <is>
          <t>This is specific, actionable, and closely tied to the reference document's criteria: mapping equations to code and comparing against published values at selected Phi points. It is highly feasible and well targeted.</t>
        </is>
      </c>
    </row>
    <row r="20" ht="90" customHeight="1">
      <c r="A20" s="8" t="inlineStr">
        <is>
          <t>Notes</t>
        </is>
      </c>
      <c r="B20" s="9"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4" t="n">
        <v>2</v>
      </c>
      <c r="D20" s="9" t="inlineStr">
        <is>
          <t>The notes correctly state that statistical significance is not applicable and that the evidence comes from model structure, thresholds, and curve shapes. This aligns well with the reference. However, it omits the most important quantitative reference point: the ~85% wage decline in the abundant-capital case.</t>
        </is>
      </c>
    </row>
    <row r="21">
      <c r="A21" s="8" t="inlineStr">
        <is>
          <t>Total</t>
        </is>
      </c>
      <c r="B21" s="5" t="n"/>
      <c r="C21" s="8">
        <f>SUM(C4:C20)</f>
        <v/>
      </c>
      <c r="D21" s="5" t="n"/>
    </row>
    <row r="22">
      <c r="A22" s="8" t="inlineStr">
        <is>
          <t>Max possible</t>
        </is>
      </c>
      <c r="B22" s="5" t="n"/>
      <c r="C22" s="8">
        <f>COUNT(C4:C20)*3</f>
        <v/>
      </c>
      <c r="D22" s="5" t="n"/>
    </row>
    <row r="23">
      <c r="A23" s="8" t="inlineStr">
        <is>
          <t>Percentage</t>
        </is>
      </c>
      <c r="B23" s="5" t="n"/>
      <c r="C23" s="10">
        <f>C21/C22</f>
        <v/>
      </c>
      <c r="D23" s="5" t="n"/>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34" customWidth="1" min="1" max="1"/>
    <col width="60" customWidth="1" min="2" max="2"/>
    <col width="10" customWidth="1" min="3" max="3"/>
    <col width="60" customWidth="1" min="4" max="4"/>
  </cols>
  <sheetData>
    <row r="1">
      <c r="A1" s="1" t="inlineStr">
        <is>
          <t>evaluate-interpret run: RA 2 (evaluator_model=gpt-5.4-mini)</t>
        </is>
      </c>
    </row>
    <row r="3">
      <c r="A3" s="3" t="inlineStr">
        <is>
          <t>Field</t>
        </is>
      </c>
      <c r="B3" s="3" t="inlineStr">
        <is>
          <t>What the agent wrote (interpret_results.json)</t>
        </is>
      </c>
      <c r="C3" s="3" t="inlineStr">
        <is>
          <t>Score (0-3)</t>
        </is>
      </c>
      <c r="D3" s="3" t="inlineStr">
        <is>
          <t>Judge's explanation</t>
        </is>
      </c>
    </row>
    <row r="4" ht="90" customHeight="1">
      <c r="A4" s="8" t="inlineStr">
        <is>
          <t>Interpretation Summary</t>
        </is>
      </c>
      <c r="B4" s="9"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4" t="n">
        <v>2</v>
      </c>
      <c r="D4" s="9" t="inlineStr">
        <is>
          <t>The summary matches the reference on the core outcome: this is a theoretical/model-based replication of Figure 6, it reproduces the threshold behavior, and the qualitative patterns for both parameter cases are correct. However, it adds unsupported specifics such as "successful model-only reproduction" and detailed numeric ranges/plateaus not given in the reference’s summary-level comparison. Overall meaning is preserved but not identical.</t>
        </is>
      </c>
    </row>
    <row r="5" ht="90" customHeight="1">
      <c r="A5" s="8" t="inlineStr">
        <is>
          <t>Execute Status</t>
        </is>
      </c>
      <c r="B5" s="9" t="inlineStr">
        <is>
          <t>Success</t>
        </is>
      </c>
      <c r="C5" s="4" t="n">
        <v>3</v>
      </c>
      <c r="D5" s="9" t="inlineStr">
        <is>
          <t>The reported status is Success, which is consistent with the reference indicating the implementation ran correctly and reproduced the intended results.</t>
        </is>
      </c>
    </row>
    <row r="6" ht="90" customHeight="1">
      <c r="A6" s="8" t="inlineStr">
        <is>
          <t>Fidelity: Method Alignment</t>
        </is>
      </c>
      <c r="B6" s="9"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4" t="n">
        <v>3</v>
      </c>
      <c r="D6" s="9" t="inlineStr">
        <is>
          <t>The method alignment description is strongly consistent with the reference: the claim is theoretical/model-based, the threshold Phi* = K/(K+L) is central, and the relevant Figure 6 equations are to be implemented directly rather than via empirical estimation. The reference also notes the replication should match the model structure and threshold behavior, which this text does.</t>
        </is>
      </c>
    </row>
    <row r="7" ht="90" customHeight="1">
      <c r="A7" s="8" t="inlineStr">
        <is>
          <t>Fidelity: Deviation 1 (issue+impact, single judge score)</t>
        </is>
      </c>
      <c r="B7" s="9" t="inlineStr">
        <is>
          <t>Issue: The original paper’s Figure 6 is a stylized analytical figure, while the replication computed the same model numerically on a discrete grid.
Impact: Low: This changes presentation format, not the underlying model behavior or substantive conclusion.</t>
        </is>
      </c>
      <c r="C7" s="4" t="n">
        <v>2</v>
      </c>
      <c r="D7" s="9" t="inlineStr">
        <is>
          <t>This is a minor presentational deviation only. The reference accepts numerical implementation of the model and focuses on matching threshold and values/shape, so the deviation does not materially alter the substantive conclusion.</t>
        </is>
      </c>
    </row>
    <row r="8" ht="90" customHeight="1">
      <c r="A8" s="8" t="inlineStr">
        <is>
          <t>Fidelity: Deviation 2 (issue+impact, single judge score)</t>
        </is>
      </c>
      <c r="B8" s="9" t="inlineStr">
        <is>
          <t>Issue: No external dataset was used because the claim is theoretical/model-based.
Impact: None: This is appropriate for the claim and consistent with the replication plan.</t>
        </is>
      </c>
      <c r="C8" s="4" t="n">
        <v>3</v>
      </c>
      <c r="D8" s="9" t="inlineStr">
        <is>
          <t>This is fully consistent with the reference, which explicitly frames the claim as theoretical and not data-driven.</t>
        </is>
      </c>
    </row>
    <row r="9" ht="90" customHeight="1">
      <c r="A9" s="8" t="inlineStr">
        <is>
          <t>Results: Hypothesis Tested</t>
        </is>
      </c>
      <c r="B9" s="9"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9" s="4" t="n">
        <v>2</v>
      </c>
      <c r="D9" s="9" t="inlineStr">
        <is>
          <t>The hypothesis restatement aligns well with the reference’s claim: output, wage bill, and capital returns change with automation share Phi, with a threshold at Phi* and a strong wage decline in the abundant-capital case. Minor wording differences and added detail do not change the substantive meaning.</t>
        </is>
      </c>
    </row>
    <row r="10" ht="90" customHeight="1">
      <c r="A10" s="8" t="inlineStr">
        <is>
          <t>Results: Original Results</t>
        </is>
      </c>
      <c r="B10" s="9"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0" s="4" t="n">
        <v>2</v>
      </c>
      <c r="D10" s="9" t="inlineStr">
        <is>
          <t>This accurately captures the key original results: equal-endowments case threshold at 0.5 with output rising then plateauing, and abundant-capital case threshold near 0.91 with wages rising then sharply falling while capital returns rise. It omits the specific magnitude that output rises from 1 to 2 and the wage peak around 6.8/85% decline, but preserves the essential comparison facts.</t>
        </is>
      </c>
    </row>
    <row r="11" ht="90" customHeight="1">
      <c r="A11" s="8" t="inlineStr">
        <is>
          <t>Results: Replication Results</t>
        </is>
      </c>
      <c r="B11" s="9"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1" s="4" t="n">
        <v>1</v>
      </c>
      <c r="D11" s="9" t="inlineStr">
        <is>
          <t>The replication results preserve the qualitative patterns and thresholds, but the numerical summaries reported are not directly comparable to the reference’s spot-checked values and original-result magnitudes. The added ranges for output and wage bill are not part of the reference summary, and the key verification point—the 85% wage drop near the threshold—is not stated with the same precision as the reference. Core meaning is partly preserved, but detail alignment is weaker.</t>
        </is>
      </c>
    </row>
    <row r="12" ht="90" customHeight="1">
      <c r="A12" s="8" t="inlineStr">
        <is>
          <t>Results: Overall Answer</t>
        </is>
      </c>
      <c r="B12" s="9" t="inlineStr">
        <is>
          <t>Yes for the focal theoretical claim; the replication satisfies the preregistered comparison criteria qualitatively.</t>
        </is>
      </c>
      <c r="C12" s="4" t="n">
        <v>3</v>
      </c>
      <c r="D12" s="9" t="inlineStr">
        <is>
          <t>The answer 'Yes for the focal theoretical claim' is consistent with the reference, which indicates the model behavior and threshold-based shape should match and that the abundant-capital wage decline is about 85%. The qualitative conclusion is correct.</t>
        </is>
      </c>
    </row>
    <row r="13" ht="90" customHeight="1">
      <c r="A13" s="8" t="inlineStr">
        <is>
          <t>Replication Report</t>
        </is>
      </c>
      <c r="B13" s="9" t="inlineStr">
        <is>
          <t>Replication successful: the static scarcity-of-labor model reproduced the expected threshold behavior, with output plateauing in the equal-endowment case and the wage bill peaking then falling in the abundant-capital case.</t>
        </is>
      </c>
      <c r="C13" s="4" t="n">
        <v>2</v>
      </c>
      <c r="D13" s="9" t="inlineStr">
        <is>
          <t>The report correctly summarizes the successful reproduction of threshold behavior and the two case-specific patterns. It is concise and aligned with the reference, though it does not mention the particularly important 85% wage decline in the abundant-capital case.</t>
        </is>
      </c>
    </row>
    <row r="14" ht="90" customHeight="1">
      <c r="A14" s="8" t="inlineStr">
        <is>
          <t>Failure Handling 1 (type+suggestions, single judge score)</t>
        </is>
      </c>
      <c r="B14" s="9" t="inlineStr">
        <is>
          <t>Type: Results/Output Failures
Suggestions: No substantive failure occurred, but future replications could report explicit curve-shape diagnostics (e.g., monotonicity checks and threshold-crossing summaries) to make comparison even more transparent.</t>
        </is>
      </c>
      <c r="C14" s="4" t="n">
        <v>1</v>
      </c>
      <c r="D14" s="9" t="inlineStr">
        <is>
          <t>The suggestion to add curve-shape diagnostics is reasonable, but the reference does not indicate a failure occurred. The recommendation is feasible, though it is somewhat generic rather than tied to a real discrepancy.</t>
        </is>
      </c>
    </row>
    <row r="15" ht="90" customHeight="1">
      <c r="A15" s="8" t="inlineStr">
        <is>
          <t>Failure Handling 2 (type+suggestions, single judge score)</t>
        </is>
      </c>
      <c r="B15" s="9" t="inlineStr">
        <is>
          <t>Type: Method/Alignment Failures
Suggestions: If stricter fidelity is desired, document the exact algebraic mapping from the paper’s equations to the code and include a direct comparison against the published figure values at selected Φ points.</t>
        </is>
      </c>
      <c r="C15" s="4" t="n">
        <v>2</v>
      </c>
      <c r="D15" s="9" t="inlineStr">
        <is>
          <t>Documenting the algebraic mapping from equations to code and comparing values at selected Phi points is directly aligned with the reference’s verification procedure. The suggestion is specific and useful, though it is framed as a hypothetical improvement rather than a response to an actual mismatch.</t>
        </is>
      </c>
    </row>
    <row r="16" ht="90" customHeight="1">
      <c r="A16" s="8" t="inlineStr">
        <is>
          <t>Notes</t>
        </is>
      </c>
      <c r="B16" s="9"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16" s="4" t="n">
        <v>2</v>
      </c>
      <c r="D16" s="9" t="inlineStr">
        <is>
          <t>The note that significance metrics are not applicable is appropriate for a theoretical replication, and the emphasis on model structure, threshold values, and qualitative curve shapes matches the reference. It is accurate but somewhat generic and does not mention the reference’s more important quantitative check of the ~85% wage decline.</t>
        </is>
      </c>
    </row>
    <row r="17">
      <c r="A17" s="8" t="inlineStr">
        <is>
          <t>Total</t>
        </is>
      </c>
      <c r="B17" s="5" t="n"/>
      <c r="C17" s="8">
        <f>SUM(C4:C16)</f>
        <v/>
      </c>
      <c r="D17" s="5" t="n"/>
    </row>
    <row r="18">
      <c r="A18" s="8" t="inlineStr">
        <is>
          <t>Max possible</t>
        </is>
      </c>
      <c r="B18" s="5" t="n"/>
      <c r="C18" s="8">
        <f>COUNT(C4:C16)*3</f>
        <v/>
      </c>
      <c r="D18" s="5" t="n"/>
    </row>
    <row r="19">
      <c r="A19" s="8" t="inlineStr">
        <is>
          <t>Percentage</t>
        </is>
      </c>
      <c r="B19" s="5" t="n"/>
      <c r="C19" s="10">
        <f>C17/C18</f>
        <v/>
      </c>
      <c r="D19" s="5" t="n"/>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4" customWidth="1" min="1" max="1"/>
    <col width="60" customWidth="1" min="2" max="2"/>
    <col width="10" customWidth="1" min="3" max="3"/>
    <col width="60" customWidth="1" min="4" max="4"/>
  </cols>
  <sheetData>
    <row r="1">
      <c r="A1" s="1" t="inlineStr">
        <is>
          <t>evaluate-interpret run: RA 3 (evaluator_model=gpt-5.4-mini)</t>
        </is>
      </c>
    </row>
    <row r="3">
      <c r="A3" s="3" t="inlineStr">
        <is>
          <t>Field</t>
        </is>
      </c>
      <c r="B3" s="3" t="inlineStr">
        <is>
          <t>What the agent wrote (interpret_results.json)</t>
        </is>
      </c>
      <c r="C3" s="3" t="inlineStr">
        <is>
          <t>Score (0-3)</t>
        </is>
      </c>
      <c r="D3" s="3" t="inlineStr">
        <is>
          <t>Judge's explanation</t>
        </is>
      </c>
    </row>
    <row r="4" ht="90" customHeight="1">
      <c r="A4" s="8" t="inlineStr">
        <is>
          <t>Interpretation Summary</t>
        </is>
      </c>
      <c r="B4" s="9"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4" t="n">
        <v>2</v>
      </c>
      <c r="D4" s="9" t="inlineStr">
        <is>
          <t>The summary correctly identifies this as a theoretical/model-based replication of Figure 6, notes the two parameter cases, and describes the expected threshold behavior and qualitative curve shapes. However, it adds language about a 'successful model-only reproduction' and specific grid-based numerical implementation details that are not all stated in the reference in this form. The core meaning matches well, but it is not an exact match to the reference's wording and emphasis.</t>
        </is>
      </c>
    </row>
    <row r="5" ht="90" customHeight="1">
      <c r="A5" s="8" t="inlineStr">
        <is>
          <t>Execute Status</t>
        </is>
      </c>
      <c r="B5" s="9" t="inlineStr">
        <is>
          <t>Success</t>
        </is>
      </c>
      <c r="C5" s="4" t="n">
        <v>3</v>
      </c>
      <c r="D5" s="9" t="inlineStr">
        <is>
          <t>The execution was successful, which is consistent with the reference indicating the replication implementation ran correctly and produced the intended model outputs. No contradiction appears.</t>
        </is>
      </c>
    </row>
    <row r="6" ht="90" customHeight="1">
      <c r="A6" s="8" t="inlineStr">
        <is>
          <t>Fidelity: Method Alignment</t>
        </is>
      </c>
      <c r="B6" s="9"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4" t="n">
        <v>2</v>
      </c>
      <c r="D6" s="9" t="inlineStr">
        <is>
          <t>The reported method alignment matches the reference in substance: it uses the static scarcity-of-labor model, the two specified parameter cases, and the threshold formula. The reference, however, emphasizes that the paper does not directly cite the equations and that the equations were inferred and implemented from Sections 2.3 and 2.5, while the report presents the alignment more generally and claims full alignment. The main model-matching claim is correct, but the detail level differs.</t>
        </is>
      </c>
    </row>
    <row r="7" ht="90" customHeight="1">
      <c r="A7" s="8" t="inlineStr">
        <is>
          <t>Fidelity: Deviation 1 (issue)</t>
        </is>
      </c>
      <c r="B7" s="9" t="inlineStr">
        <is>
          <t>The original paper’s Figure 6 is a stylized analytical figure, while the replication computed the same model numerically on a discrete grid.</t>
        </is>
      </c>
      <c r="C7" s="4" t="n">
        <v>2</v>
      </c>
      <c r="D7" s="9" t="inlineStr">
        <is>
          <t>It is accurate that Figure 6 is stylized/analytical and that the replication used a numerical grid. This is a real presentation difference, but the reference does not frame it as a substantive deviation. The issue description is plausible and aligned with the reference context.</t>
        </is>
      </c>
    </row>
    <row r="8" ht="90" customHeight="1">
      <c r="A8" s="8" t="inlineStr">
        <is>
          <t>Fidelity: Deviation 1 (impact)</t>
        </is>
      </c>
      <c r="B8" s="9" t="inlineStr">
        <is>
          <t>Low: This changes presentation format, not the underlying model behavior or substantive conclusion.</t>
        </is>
      </c>
      <c r="C8" s="4" t="n">
        <v>2</v>
      </c>
      <c r="D8" s="9" t="inlineStr">
        <is>
          <t>The stated impact as low is reasonable and consistent with the reference, since the numerical discretization does not alter the underlying model behavior or comparison criteria.</t>
        </is>
      </c>
    </row>
    <row r="9" ht="90" customHeight="1">
      <c r="A9" s="8" t="inlineStr">
        <is>
          <t>Fidelity: Deviation 2 (issue)</t>
        </is>
      </c>
      <c r="B9" s="9" t="inlineStr">
        <is>
          <t>No external dataset was used because the claim is theoretical/model-based.</t>
        </is>
      </c>
      <c r="C9" s="4" t="n">
        <v>3</v>
      </c>
      <c r="D9" s="9" t="inlineStr">
        <is>
          <t>The statement that no external dataset was used is fully consistent with the reference because this is a theoretical/model replication, not an empirical one.</t>
        </is>
      </c>
    </row>
    <row r="10" ht="90" customHeight="1">
      <c r="A10" s="8" t="inlineStr">
        <is>
          <t>Fidelity: Deviation 2 (impact)</t>
        </is>
      </c>
      <c r="B10" s="9" t="inlineStr">
        <is>
          <t>None: This is appropriate for the claim and consistent with the replication plan.</t>
        </is>
      </c>
      <c r="C10" s="4" t="n">
        <v>3</v>
      </c>
      <c r="D10" s="9" t="inlineStr">
        <is>
          <t>The 'None' impact assessment is correct and matches the reference's framing that no dataset is needed for this claim.</t>
        </is>
      </c>
    </row>
    <row r="11" ht="90" customHeight="1">
      <c r="A11" s="8" t="inlineStr">
        <is>
          <t>Results: Hypothesis Tested</t>
        </is>
      </c>
      <c r="B11" s="9"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4" t="n">
        <v>3</v>
      </c>
      <c r="D11" s="9" t="inlineStr">
        <is>
          <t>The hypothesis restatement matches the reference claim closely: output, wage bill, and capital income change across the automation threshold, with the abundant-capital case showing a wage decline and capital-income rise. The threshold formula is also correctly stated.</t>
        </is>
      </c>
    </row>
    <row r="12" ht="90" customHeight="1">
      <c r="A12" s="8" t="inlineStr">
        <is>
          <t>Results: Original Results</t>
        </is>
      </c>
      <c r="B12" s="9"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4" t="n">
        <v>3</v>
      </c>
      <c r="D12" s="9" t="inlineStr">
        <is>
          <t>The summary captures the original paper's Figure 6 behavior accurately: equal-endowment case output rises then plateaus at Phi=0.5, and abundant-capital case reaches the threshold near 0.91 with wages rising then falling sharply while capital returns rise. This is consistent with the reference's original-results summary.</t>
        </is>
      </c>
    </row>
    <row r="13" ht="90" customHeight="1">
      <c r="A13" s="8" t="inlineStr">
        <is>
          <t>Results: Replication Results</t>
        </is>
      </c>
      <c r="B13" s="9"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4" t="n">
        <v>2</v>
      </c>
      <c r="D13" s="9" t="inlineStr">
        <is>
          <t>The replication results match the reference qualitatively on threshold values and the main curve shapes. However, the report gives output and wage-bill ranges rather than the reference's spot-checked values and does not reproduce the exact benchmark numbers (e.g., wage peak around 6.8179 and 85% decline). The core result is right, but key magnitudes are not reported in the same way and some reported ranges are not directly comparable to the reference table.</t>
        </is>
      </c>
    </row>
    <row r="14" ht="90" customHeight="1">
      <c r="A14" s="8" t="inlineStr">
        <is>
          <t>Results: Overall Answer</t>
        </is>
      </c>
      <c r="B14" s="9" t="inlineStr">
        <is>
          <t>Yes for the focal theoretical claim; the replication satisfies the preregistered comparison criteria qualitatively.</t>
        </is>
      </c>
      <c r="C14" s="4" t="n">
        <v>3</v>
      </c>
      <c r="D14" s="9" t="inlineStr">
        <is>
          <t>The answer 'Yes for the focal theoretical claim' is consistent with the reference criteria, which prioritize matching threshold, shape, and key magnitudes for the Figure 6 claim. The replication satisfies the qualitative comparison.</t>
        </is>
      </c>
    </row>
    <row r="15" ht="90" customHeight="1">
      <c r="A15" s="8" t="inlineStr">
        <is>
          <t>Replication Report</t>
        </is>
      </c>
      <c r="B15" s="9" t="inlineStr">
        <is>
          <t>Replication successful: the static scarcity-of-labor model reproduced the expected threshold behavior, with output plateauing in the equal-endowment case and the wage bill peaking then falling in the abundant-capital case.</t>
        </is>
      </c>
      <c r="C15" s="4" t="n">
        <v>3</v>
      </c>
      <c r="D15" s="9" t="inlineStr">
        <is>
          <t>The report concisely and correctly summarizes the successful replication outcome: threshold behavior is reproduced, output plateaus in the equal-endowment case, and the wage bill peaks then falls in the abundant-capital case. This matches the reference's core claim.</t>
        </is>
      </c>
    </row>
    <row r="16" ht="90" customHeight="1">
      <c r="A16" s="8" t="inlineStr">
        <is>
          <t>Failure Handling 1 (type)</t>
        </is>
      </c>
      <c r="B16" s="9" t="inlineStr">
        <is>
          <t>Results/Output Failures</t>
        </is>
      </c>
      <c r="C16" s="4" t="n">
        <v>1</v>
      </c>
      <c r="D16" s="9" t="inlineStr">
        <is>
          <t>Labeling the situation as 'Results/Output Failures' is only loosely related because the reference indicates no substantive failure occurred. It is more of a reporting suggestion than a genuine failure type.</t>
        </is>
      </c>
    </row>
    <row r="17" ht="90" customHeight="1">
      <c r="A17" s="8" t="inlineStr">
        <is>
          <t>Failure Handling 1 (suggestions)</t>
        </is>
      </c>
      <c r="B17" s="9" t="inlineStr">
        <is>
          <t>No substantive failure occurred, but future replications could report explicit curve-shape diagnostics (e.g., monotonicity checks and threshold-crossing summaries) to make comparison even more transparent.</t>
        </is>
      </c>
      <c r="C17" s="4" t="n">
        <v>2</v>
      </c>
      <c r="D17" s="9" t="inlineStr">
        <is>
          <t>The suggestion to include monotonicity checks and threshold-crossing summaries is concrete and useful, though it is not directly tied to an actual failure in the reference. It is feasible and relevant to clearer verification.</t>
        </is>
      </c>
    </row>
    <row r="18" ht="90" customHeight="1">
      <c r="A18" s="8" t="inlineStr">
        <is>
          <t>Failure Handling 2 (type)</t>
        </is>
      </c>
      <c r="B18" s="9" t="inlineStr">
        <is>
          <t>Method/Alignment Failures</t>
        </is>
      </c>
      <c r="C18" s="4" t="n">
        <v>1</v>
      </c>
      <c r="D18" s="9" t="inlineStr">
        <is>
          <t>The 'Method/Alignment Failures' label is only partially applicable because the reference does not report an actual alignment failure; it simply notes a possible desire for stricter documentation. The type is not strongly supported as a failure.</t>
        </is>
      </c>
    </row>
    <row r="19" ht="90" customHeight="1">
      <c r="A19" s="8" t="inlineStr">
        <is>
          <t>Failure Handling 2 (suggestions)</t>
        </is>
      </c>
      <c r="B19" s="9" t="inlineStr">
        <is>
          <t>If stricter fidelity is desired, document the exact algebraic mapping from the paper’s equations to the code and include a direct comparison against the published figure values at selected Φ points.</t>
        </is>
      </c>
      <c r="C19" s="4" t="n">
        <v>2</v>
      </c>
      <c r="D19" s="9" t="inlineStr">
        <is>
          <t>The recommendation to document the algebraic mapping and compare values at selected Phi points is specific, feasible, and aligned with the reference's verification approach. It is a good suggestion, even if not tied to a real failure.</t>
        </is>
      </c>
    </row>
    <row r="20" ht="90" customHeight="1">
      <c r="A20" s="8" t="inlineStr">
        <is>
          <t>Notes</t>
        </is>
      </c>
      <c r="B20" s="9"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4" t="n">
        <v>3</v>
      </c>
      <c r="D20" s="9" t="inlineStr">
        <is>
          <t>The notes correctly state that statistical significance is not applicable, that evidence comes from model structure, thresholds, and curve shapes, and that the code produced the intended outputs. This aligns well with the reference's theoretical nature and verification framing.</t>
        </is>
      </c>
    </row>
    <row r="21">
      <c r="A21" s="8" t="inlineStr">
        <is>
          <t>Total</t>
        </is>
      </c>
      <c r="B21" s="5" t="n"/>
      <c r="C21" s="8">
        <f>SUM(C4:C20)</f>
        <v/>
      </c>
      <c r="D21" s="5" t="n"/>
    </row>
    <row r="22">
      <c r="A22" s="8" t="inlineStr">
        <is>
          <t>Max possible</t>
        </is>
      </c>
      <c r="B22" s="5" t="n"/>
      <c r="C22" s="8">
        <f>COUNT(C4:C20)*3</f>
        <v/>
      </c>
      <c r="D22" s="5" t="n"/>
    </row>
    <row r="23">
      <c r="A23" s="8" t="inlineStr">
        <is>
          <t>Percentage</t>
        </is>
      </c>
      <c r="B23" s="5" t="n"/>
      <c r="C23" s="10">
        <f>C21/C22</f>
        <v/>
      </c>
      <c r="D23" s="5" t="n"/>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4" customWidth="1" min="1" max="1"/>
    <col width="60" customWidth="1" min="2" max="2"/>
    <col width="10" customWidth="1" min="3" max="3"/>
    <col width="60" customWidth="1" min="4" max="4"/>
  </cols>
  <sheetData>
    <row r="1">
      <c r="A1" s="1" t="inlineStr">
        <is>
          <t>evaluate-interpret run: Codex 1 (evaluator_model=gpt-5.4-mini)</t>
        </is>
      </c>
    </row>
    <row r="3">
      <c r="A3" s="3" t="inlineStr">
        <is>
          <t>Field</t>
        </is>
      </c>
      <c r="B3" s="3" t="inlineStr">
        <is>
          <t>What the agent wrote (interpret_results.json)</t>
        </is>
      </c>
      <c r="C3" s="3" t="inlineStr">
        <is>
          <t>Score (0-3)</t>
        </is>
      </c>
      <c r="D3" s="3" t="inlineStr">
        <is>
          <t>Judge's explanation</t>
        </is>
      </c>
    </row>
    <row r="4" ht="90" customHeight="1">
      <c r="A4" s="8" t="inlineStr">
        <is>
          <t>Interpretation Summary</t>
        </is>
      </c>
      <c r="B4" s="9"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4" t="n">
        <v>3</v>
      </c>
      <c r="D4" s="9" t="inlineStr">
        <is>
          <t>Accurately captures the main claim in the reference: the static scarcity-of-labor model for Figure 6 was reproduced, thresholds match for both parameter cases, and the qualitative pattern of output rising then redistributing to capital is preserved. The numerical threshold values (0.5 and 0.909090909) align with the reference, and the note that this is a deterministic/theoretical replication is consistent.</t>
        </is>
      </c>
    </row>
    <row r="5" ht="90" customHeight="1">
      <c r="A5" s="8" t="inlineStr">
        <is>
          <t>Execute Status</t>
        </is>
      </c>
      <c r="B5" s="9" t="inlineStr">
        <is>
          <t>Success</t>
        </is>
      </c>
      <c r="C5" s="4" t="n">
        <v>3</v>
      </c>
      <c r="D5" s="9" t="inlineStr">
        <is>
          <t>Marked Success, which matches the reference indicating the replication proceeded correctly and no substantive deviation or failure occurred.</t>
        </is>
      </c>
    </row>
    <row r="6" ht="90" customHeight="1">
      <c r="A6" s="8" t="inlineStr">
        <is>
          <t>Fidelity: Method Alignment</t>
        </is>
      </c>
      <c r="B6" s="9"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4" t="n">
        <v>3</v>
      </c>
      <c r="D6" s="9" t="inlineStr">
        <is>
          <t>The description matches the reference well: deterministic analytical reproduction of the static scarcity-of-labor model, evaluation over the relevant automation grid, and validation of output, wage bill, and capital returns. This preserves the core method used in the reference implementation.</t>
        </is>
      </c>
    </row>
    <row r="7" ht="90" customHeight="1">
      <c r="A7" s="8" t="inlineStr">
        <is>
          <t>Fidelity: Deviation 1 (issue)</t>
        </is>
      </c>
      <c r="B7" s="9" t="inlineStr">
        <is>
          <t>The replication used a numerical grid of 1,001 automation values rather than a closed-form symbolic reproduction of the figure.</t>
        </is>
      </c>
      <c r="C7" s="4" t="n">
        <v>2</v>
      </c>
      <c r="D7" s="9" t="inlineStr">
        <is>
          <t>The use of a 1,001-point numerical grid rather than a purely symbolic derivation is a minor implementation detail. The reference explicitly allows comparison at natural reporting points and emphasizes underlying facts rather than exact grid choices, so this is a minor but real deviation.</t>
        </is>
      </c>
    </row>
    <row r="8" ht="90" customHeight="1">
      <c r="A8" s="8" t="inlineStr">
        <is>
          <t>Fidelity: Deviation 1 (impact)</t>
        </is>
      </c>
      <c r="B8" s="9" t="inlineStr">
        <is>
          <t>Low: this is consistent with the preregistered plan and did not affect the substantive results.</t>
        </is>
      </c>
      <c r="C8" s="4" t="n">
        <v>3</v>
      </c>
      <c r="D8" s="9" t="inlineStr">
        <is>
          <t>The stated impact is correctly assessed as low/none for substantive results, since the reference indicates such numerical evaluation is acceptable and the threshold/results match exactly.</t>
        </is>
      </c>
    </row>
    <row r="9" ht="90" customHeight="1">
      <c r="A9" s="8" t="inlineStr">
        <is>
          <t>Fidelity: Deviation 2 (issue)</t>
        </is>
      </c>
      <c r="B9" s="9" t="inlineStr">
        <is>
          <t>The figure was reproduced as an SVG and numerical CSV rather than only a visual plot.</t>
        </is>
      </c>
      <c r="C9" s="4" t="n">
        <v>3</v>
      </c>
      <c r="D9" s="9" t="inlineStr">
        <is>
          <t>Reporting outputs as SVG and CSV is consistent with reproducible dissemination and does not conflict with the reference. It is not a methodological problem.</t>
        </is>
      </c>
    </row>
    <row r="10" ht="90" customHeight="1">
      <c r="A10" s="8" t="inlineStr">
        <is>
          <t>Fidelity: Deviation 2 (impact)</t>
        </is>
      </c>
      <c r="B10" s="9" t="inlineStr">
        <is>
          <t>None: this improves reproducibility and does not alter the model results.</t>
        </is>
      </c>
      <c r="C10" s="4" t="n">
        <v>3</v>
      </c>
      <c r="D10" s="9" t="inlineStr">
        <is>
          <t>Correctly states there is no substantive impact on the model results.</t>
        </is>
      </c>
    </row>
    <row r="11" ht="90" customHeight="1">
      <c r="A11" s="8" t="inlineStr">
        <is>
          <t>Results: Hypothesis Tested</t>
        </is>
      </c>
      <c r="B11" s="9" t="inlineStr">
        <is>
          <t>In the paper's static scarcity-of-labor model, increasing the automated-task fraction Phi raises output until the labor-scarcity threshold and changes its division between the wage bill and capital returns; the threshold is Phi-hat = (K/L)/(1 + K/L).</t>
        </is>
      </c>
      <c r="C11" s="4" t="n">
        <v>3</v>
      </c>
      <c r="D11" s="9" t="inlineStr">
        <is>
          <t>Restates the focal hypothesis from the reference accurately: the automation threshold Phi-hat equals (K/L)/(1+K/L), and increasing Phi changes output and factor-income division accordingly.</t>
        </is>
      </c>
    </row>
    <row r="12" ht="90" customHeight="1">
      <c r="A12" s="8" t="inlineStr">
        <is>
          <t>Results: Original Results</t>
        </is>
      </c>
      <c r="B12" s="9"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4" t="n">
        <v>3</v>
      </c>
      <c r="D12" s="9" t="inlineStr">
        <is>
          <t>Faithfully summarizes the original Figure 6 results: output rises from 1 to 2 and plateaus for K=L=1 at Phi=0.5, and rises from 1 to 11 for K=10, L=1 with a wage peak around 6.8 near Phi=0.82 followed by a sharp decline. This matches the reference closely.</t>
        </is>
      </c>
    </row>
    <row r="13" ht="90" customHeight="1">
      <c r="A13" s="8" t="inlineStr">
        <is>
          <t>Results: Replication Results</t>
        </is>
      </c>
      <c r="B13" s="9"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4" t="n">
        <v>3</v>
      </c>
      <c r="D13" s="9" t="inlineStr">
        <is>
          <t>Correctly reports the replicated thresholds (0.5 and 0.909090909), output levels (1.0 to 2.0 and 11.0), and the qualitative validation checks. These are consistent with the reference’s stated criteria and expected outcomes.</t>
        </is>
      </c>
    </row>
    <row r="14" ht="90" customHeight="1">
      <c r="A14" s="8" t="inlineStr">
        <is>
          <t>Results: Overall Answer</t>
        </is>
      </c>
      <c r="B14" s="9" t="inlineStr">
        <is>
          <t>Yes for the focal claim; the replication matches the preregistered comparison criteria and reproduces the theoretical pattern in Figure 6.</t>
        </is>
      </c>
      <c r="C14" s="4" t="n">
        <v>3</v>
      </c>
      <c r="D14" s="9" t="inlineStr">
        <is>
          <t>The answer 'Yes for the focal claim' is appropriate because the reference states that matching the threshold and shape for Figure 6 is sufficient, and the reported results satisfy those conditions.</t>
        </is>
      </c>
    </row>
    <row r="15" ht="90" customHeight="1">
      <c r="A15" s="8" t="inlineStr">
        <is>
          <t>Replication Report</t>
        </is>
      </c>
      <c r="B15" s="9" t="inlineStr">
        <is>
          <t>Replication successful: the static scarcity-of-labor model was reproduced faithfully, with thresholds and output paths matching the original Figure 6 and validation checks passing.</t>
        </is>
      </c>
      <c r="C15" s="4" t="n">
        <v>3</v>
      </c>
      <c r="D15" s="9" t="inlineStr">
        <is>
          <t>Concise summary is consistent with the reference: faithful reproduction of the static scarcity-of-labor model, matching thresholds and output paths for Figure 6.</t>
        </is>
      </c>
    </row>
    <row r="16" ht="90" customHeight="1">
      <c r="A16" s="8" t="inlineStr">
        <is>
          <t>Failure Handling 1 (type)</t>
        </is>
      </c>
      <c r="B16" s="9" t="inlineStr">
        <is>
          <t>Results/Output Failures</t>
        </is>
      </c>
      <c r="C16" s="4" t="n">
        <v>2</v>
      </c>
      <c r="D16" s="9" t="inlineStr">
        <is>
          <t>Labeling this as a Results/Output failure is understandable but not strongly supported by the reference, since no substantive failure occurred. It is a low-severity, somewhat generic categorization.</t>
        </is>
      </c>
    </row>
    <row r="17" ht="90" customHeight="1">
      <c r="A17" s="8" t="inlineStr">
        <is>
          <t>Failure Handling 1 (suggestions)</t>
        </is>
      </c>
      <c r="B17" s="9" t="inlineStr">
        <is>
          <t>No substantive failure occurred. If future comparisons require tighter benchmarking, provide a reference numerical table or exact plotting conventions from the original figure.</t>
        </is>
      </c>
      <c r="C17" s="4" t="n">
        <v>2</v>
      </c>
      <c r="D17" s="9" t="inlineStr">
        <is>
          <t>The suggestion to provide a reference numerical table or exact plotting conventions is actionable and relevant, though the reference indicates such exact line-by-line comparison is supplementary rather than required.</t>
        </is>
      </c>
    </row>
    <row r="18" ht="90" customHeight="1">
      <c r="A18" s="8" t="inlineStr">
        <is>
          <t>Failure Handling 2 (type)</t>
        </is>
      </c>
      <c r="B18" s="9" t="inlineStr">
        <is>
          <t>Method/Alignment Failures</t>
        </is>
      </c>
      <c r="C18" s="4" t="n">
        <v>2</v>
      </c>
      <c r="D18" s="9" t="inlineStr">
        <is>
          <t>Method/Alignment Failures is a plausible category for the grid/interpolation comparison note, but the reference does not identify an actual failure. It is reasonable but not directly grounded in a problem.</t>
        </is>
      </c>
    </row>
    <row r="19" ht="90" customHeight="1">
      <c r="A19" s="8" t="inlineStr">
        <is>
          <t>Failure Handling 2 (suggestions)</t>
        </is>
      </c>
      <c r="B19" s="9" t="inlineStr">
        <is>
          <t>No major deviation detected. If a later replication needs stronger comparability, specify whether the figure should be matched at exact grid points or via continuous interpolation.</t>
        </is>
      </c>
      <c r="C19" s="4" t="n">
        <v>2</v>
      </c>
      <c r="D19" s="9" t="inlineStr">
        <is>
          <t>The suggestion about exact grid points versus continuous interpolation is practical and tied to the replication comparison methodology described in the reference, though it is more of a future-improvement note than a failure remedy.</t>
        </is>
      </c>
    </row>
    <row r="20" ht="90" customHeight="1">
      <c r="A20" s="8" t="inlineStr">
        <is>
          <t>Notes</t>
        </is>
      </c>
      <c r="B20" s="9"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4" t="n">
        <v>3</v>
      </c>
      <c r="D20" s="9" t="inlineStr">
        <is>
          <t>The note correctly states that this is a deterministic theoretical replication and that statistical significance is not applicable. It also identifies exact recovery of thresholds and machine-precision agreement as the key success criteria, which matches the reference well.</t>
        </is>
      </c>
    </row>
    <row r="21">
      <c r="A21" s="8" t="inlineStr">
        <is>
          <t>Total</t>
        </is>
      </c>
      <c r="B21" s="5" t="n"/>
      <c r="C21" s="8">
        <f>SUM(C4:C20)</f>
        <v/>
      </c>
      <c r="D21" s="5" t="n"/>
    </row>
    <row r="22">
      <c r="A22" s="8" t="inlineStr">
        <is>
          <t>Max possible</t>
        </is>
      </c>
      <c r="B22" s="5" t="n"/>
      <c r="C22" s="8">
        <f>COUNT(C4:C20)*3</f>
        <v/>
      </c>
      <c r="D22" s="5" t="n"/>
    </row>
    <row r="23">
      <c r="A23" s="8" t="inlineStr">
        <is>
          <t>Percentage</t>
        </is>
      </c>
      <c r="B23" s="5" t="n"/>
      <c r="C23" s="10">
        <f>C21/C22</f>
        <v/>
      </c>
      <c r="D23" s="5" t="n"/>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4" customWidth="1" min="1" max="1"/>
    <col width="60" customWidth="1" min="2" max="2"/>
    <col width="10" customWidth="1" min="3" max="3"/>
    <col width="60" customWidth="1" min="4" max="4"/>
  </cols>
  <sheetData>
    <row r="1">
      <c r="A1" s="1" t="inlineStr">
        <is>
          <t>evaluate-interpret run: Codex 2 (evaluator_model=gpt-5.4-mini)</t>
        </is>
      </c>
    </row>
    <row r="3">
      <c r="A3" s="3" t="inlineStr">
        <is>
          <t>Field</t>
        </is>
      </c>
      <c r="B3" s="3" t="inlineStr">
        <is>
          <t>What the agent wrote (interpret_results.json)</t>
        </is>
      </c>
      <c r="C3" s="3" t="inlineStr">
        <is>
          <t>Score (0-3)</t>
        </is>
      </c>
      <c r="D3" s="3" t="inlineStr">
        <is>
          <t>Judge's explanation</t>
        </is>
      </c>
    </row>
    <row r="4" ht="90" customHeight="1">
      <c r="A4" s="8" t="inlineStr">
        <is>
          <t>Interpretation Summary</t>
        </is>
      </c>
      <c r="B4" s="9"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4" t="n">
        <v>3</v>
      </c>
      <c r="D4" s="9" t="inlineStr">
        <is>
          <t>Accurately captures the replication as a successful deterministic reproduction of Figure 6, including the key thresholds (Phi=0.5 and Phi=0.909090909) and the qualitative output/wage/capital pattern. This matches the reference summary closely, with only minor wording differences and no substantive errors.</t>
        </is>
      </c>
    </row>
    <row r="5" ht="90" customHeight="1">
      <c r="A5" s="8" t="inlineStr">
        <is>
          <t>Execute Status</t>
        </is>
      </c>
      <c r="B5" s="9" t="inlineStr">
        <is>
          <t>Success</t>
        </is>
      </c>
      <c r="C5" s="4" t="n">
        <v>3</v>
      </c>
      <c r="D5" s="9" t="inlineStr">
        <is>
          <t>The reported status is 'Success,' which is fully consistent with the reference indicating the model was reproduced faithfully and passed validation checks.</t>
        </is>
      </c>
    </row>
    <row r="6" ht="90" customHeight="1">
      <c r="A6" s="8" t="inlineStr">
        <is>
          <t>Fidelity: Method Alignment</t>
        </is>
      </c>
      <c r="B6" s="9"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4" t="n">
        <v>3</v>
      </c>
      <c r="D6" s="9" t="inlineStr">
        <is>
          <t>The description aligns with the reference: the implementation reproduces the static scarcity-of-labor model, evaluates the equilibrium regimes, and validates accounting identities and threshold behavior. This reflects the correct model and replication approach.</t>
        </is>
      </c>
    </row>
    <row r="7" ht="90" customHeight="1">
      <c r="A7" s="8" t="inlineStr">
        <is>
          <t>Fidelity: Deviation 1 (issue)</t>
        </is>
      </c>
      <c r="B7" s="9" t="inlineStr">
        <is>
          <t>The replication used a numerical grid of 1,001 automation values rather than a closed-form symbolic reproduction of the figure.</t>
        </is>
      </c>
      <c r="C7" s="4" t="n">
        <v>2</v>
      </c>
      <c r="D7" s="9" t="inlineStr">
        <is>
          <t>Using a 1,001-point numerical grid instead of a closed-form symbolic reproduction is a minor implementation detail. The reference allows natural reporting forms and emphasizes the underlying model behavior rather than exact grid presentation, so this is a mostly similar but not essential deviation.</t>
        </is>
      </c>
    </row>
    <row r="8" ht="90" customHeight="1">
      <c r="A8" s="8" t="inlineStr">
        <is>
          <t>Fidelity: Deviation 1 (impact)</t>
        </is>
      </c>
      <c r="B8" s="9" t="inlineStr">
        <is>
          <t>Low: this is consistent with the preregistered plan and did not affect the substantive results.</t>
        </is>
      </c>
      <c r="C8" s="4" t="n">
        <v>3</v>
      </c>
      <c r="D8" s="9" t="inlineStr">
        <is>
          <t>The stated low impact is consistent with the reference: the numerical grid does not affect the substantive replication results.</t>
        </is>
      </c>
    </row>
    <row r="9" ht="90" customHeight="1">
      <c r="A9" s="8" t="inlineStr">
        <is>
          <t>Fidelity: Deviation 2 (issue)</t>
        </is>
      </c>
      <c r="B9" s="9" t="inlineStr">
        <is>
          <t>The figure was reproduced as an SVG and numerical CSV rather than only a visual plot.</t>
        </is>
      </c>
      <c r="C9" s="4" t="n">
        <v>2</v>
      </c>
      <c r="D9" s="9" t="inlineStr">
        <is>
          <t>Reporting outputs as SVG and CSV instead of only a visual plot is a harmless formatting/output choice, not a substantive deviation. It is related to reproducibility rather than methodological correctness.</t>
        </is>
      </c>
    </row>
    <row r="10" ht="90" customHeight="1">
      <c r="A10" s="8" t="inlineStr">
        <is>
          <t>Fidelity: Deviation 2 (impact)</t>
        </is>
      </c>
      <c r="B10" s="9" t="inlineStr">
        <is>
          <t>None: this improves reproducibility and does not alter the model results.</t>
        </is>
      </c>
      <c r="C10" s="4" t="n">
        <v>3</v>
      </c>
      <c r="D10" s="9" t="inlineStr">
        <is>
          <t>The claimed none impact is correct; this does not alter the model results or comparison criteria.</t>
        </is>
      </c>
    </row>
    <row r="11" ht="90" customHeight="1">
      <c r="A11" s="8" t="inlineStr">
        <is>
          <t>Results: Hypothesis Tested</t>
        </is>
      </c>
      <c r="B11" s="9" t="inlineStr">
        <is>
          <t>In the paper's static scarcity-of-labor model, increasing the automated-task fraction Phi raises output until the labor-scarcity threshold and changes its division between the wage bill and capital returns; the threshold is Phi-hat = (K/L)/(1 + K/L).</t>
        </is>
      </c>
      <c r="C11" s="4" t="n">
        <v>3</v>
      </c>
      <c r="D11" s="9" t="inlineStr">
        <is>
          <t>The hypothesis is stated correctly: rising automation changes output and income division with threshold Phi-hat=(K/L)/(1+K/L). This matches the reference claim about Figure 6 and the threshold rule.</t>
        </is>
      </c>
    </row>
    <row r="12" ht="90" customHeight="1">
      <c r="A12" s="8" t="inlineStr">
        <is>
          <t>Results: Original Results</t>
        </is>
      </c>
      <c r="B12" s="9"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4" t="n">
        <v>3</v>
      </c>
      <c r="D12" s="9" t="inlineStr">
        <is>
          <t>Provides the correct original findings for both parameter cases: output rises to 2 at Phi=0.5 for K=L=1, and to 11 at Phi≈0.91 for K=10, L=1, with wages peaking then declining sharply. This is consistent with the reference summary.</t>
        </is>
      </c>
    </row>
    <row r="13" ht="90" customHeight="1">
      <c r="A13" s="8" t="inlineStr">
        <is>
          <t>Results: Replication Results</t>
        </is>
      </c>
      <c r="B13" s="9"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4" t="n">
        <v>3</v>
      </c>
      <c r="D13" s="9" t="inlineStr">
        <is>
          <t>The replication results match the reference on the key quantities: thresholds 0.5 and 0.909090909, output values 2.0 and 11.0, and the wage/capital transition pattern. Extra accounting-error details are consistent with a successful deterministic replication.</t>
        </is>
      </c>
    </row>
    <row r="14" ht="90" customHeight="1">
      <c r="A14" s="8" t="inlineStr">
        <is>
          <t>Results: Overall Answer</t>
        </is>
      </c>
      <c r="B14" s="9" t="inlineStr">
        <is>
          <t>Yes for the focal claim; the replication matches the preregistered comparison criteria and reproduces the theoretical pattern in Figure 6.</t>
        </is>
      </c>
      <c r="C14" s="4" t="n">
        <v>3</v>
      </c>
      <c r="D14" s="9" t="inlineStr">
        <is>
          <t>The answer 'Yes for the focal claim' is correct because the replication matches the threshold and shape criteria for the Figure 6 claim.</t>
        </is>
      </c>
    </row>
    <row r="15" ht="90" customHeight="1">
      <c r="A15" s="8" t="inlineStr">
        <is>
          <t>Replication Report</t>
        </is>
      </c>
      <c r="B15" s="9" t="inlineStr">
        <is>
          <t>Replication successful: the static scarcity-of-labor model was reproduced faithfully, with thresholds and output paths matching the original Figure 6 and validation checks passing.</t>
        </is>
      </c>
      <c r="C15" s="4" t="n">
        <v>3</v>
      </c>
      <c r="D15" s="9" t="inlineStr">
        <is>
          <t>The summary correctly states that replication was successful and that thresholds and output paths matched Figure 6. This is fully aligned with the reference.</t>
        </is>
      </c>
    </row>
    <row r="16" ht="90" customHeight="1">
      <c r="A16" s="8" t="inlineStr">
        <is>
          <t>Failure Handling 1 (type)</t>
        </is>
      </c>
      <c r="B16" s="9" t="inlineStr">
        <is>
          <t>Results/Output Failures</t>
        </is>
      </c>
      <c r="C16" s="4" t="n">
        <v>1</v>
      </c>
      <c r="D16" s="9" t="inlineStr">
        <is>
          <t>Labeling the issue as 'Results/Output Failures' is somewhat mismatched because the reference indicates no substantive failure occurred. It is loosely related since the field is meant to report problems, but the content frames a non-failure as a failure category.</t>
        </is>
      </c>
    </row>
    <row r="17" ht="90" customHeight="1">
      <c r="A17" s="8" t="inlineStr">
        <is>
          <t>Failure Handling 1 (suggestions)</t>
        </is>
      </c>
      <c r="B17" s="9" t="inlineStr">
        <is>
          <t>No substantive failure occurred. If future comparisons require tighter benchmarking, provide a reference numerical table or exact plotting conventions from the original figure.</t>
        </is>
      </c>
      <c r="C17" s="4" t="n">
        <v>2</v>
      </c>
      <c r="D17" s="9" t="inlineStr">
        <is>
          <t>The suggestion to provide a reference numerical table or plotting conventions is actionable and relevant to stronger benchmarking, though the reference does not indicate a real failure requiring remediation.</t>
        </is>
      </c>
    </row>
    <row r="18" ht="90" customHeight="1">
      <c r="A18" s="8" t="inlineStr">
        <is>
          <t>Failure Handling 2 (type)</t>
        </is>
      </c>
      <c r="B18" s="9" t="inlineStr">
        <is>
          <t>Method/Alignment Failures</t>
        </is>
      </c>
      <c r="C18" s="4" t="n">
        <v>1</v>
      </c>
      <c r="D18" s="9" t="inlineStr">
        <is>
          <t>Classifying the grid/interpolation note as 'Method/Alignment Failures' overstates the issue. The reference treats such differences as acceptable reporting choices, so this is only loosely related.</t>
        </is>
      </c>
    </row>
    <row r="19" ht="90" customHeight="1">
      <c r="A19" s="8" t="inlineStr">
        <is>
          <t>Failure Handling 2 (suggestions)</t>
        </is>
      </c>
      <c r="B19" s="9" t="inlineStr">
        <is>
          <t>No major deviation detected. If a later replication needs stronger comparability, specify whether the figure should be matched at exact grid points or via continuous interpolation.</t>
        </is>
      </c>
      <c r="C19" s="4" t="n">
        <v>2</v>
      </c>
      <c r="D19" s="9" t="inlineStr">
        <is>
          <t>The suggestion about specifying exact grid points versus continuous interpolation is feasible and relevant to comparison precision, though it is not necessary given the reference's success criteria.</t>
        </is>
      </c>
    </row>
    <row r="20" ht="90" customHeight="1">
      <c r="A20" s="8" t="inlineStr">
        <is>
          <t>Notes</t>
        </is>
      </c>
      <c r="B20" s="9"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4" t="n">
        <v>3</v>
      </c>
      <c r="D20" s="9" t="inlineStr">
        <is>
          <t>The note correctly identifies that this is a deterministic theoretical replication, that significance metrics are not applicable, and that success rests on exact threshold recovery and accounting agreement. The output-file paths are extra but harmless.</t>
        </is>
      </c>
    </row>
    <row r="21">
      <c r="A21" s="8" t="inlineStr">
        <is>
          <t>Total</t>
        </is>
      </c>
      <c r="B21" s="5" t="n"/>
      <c r="C21" s="8">
        <f>SUM(C4:C20)</f>
        <v/>
      </c>
      <c r="D21" s="5" t="n"/>
    </row>
    <row r="22">
      <c r="A22" s="8" t="inlineStr">
        <is>
          <t>Max possible</t>
        </is>
      </c>
      <c r="B22" s="5" t="n"/>
      <c r="C22" s="8">
        <f>COUNT(C4:C20)*3</f>
        <v/>
      </c>
      <c r="D22" s="5" t="n"/>
    </row>
    <row r="23">
      <c r="A23" s="8" t="inlineStr">
        <is>
          <t>Percentage</t>
        </is>
      </c>
      <c r="B23" s="5" t="n"/>
      <c r="C23" s="10">
        <f>C21/C22</f>
        <v/>
      </c>
      <c r="D23" s="5" t="n"/>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4" customWidth="1" min="1" max="1"/>
    <col width="60" customWidth="1" min="2" max="2"/>
    <col width="10" customWidth="1" min="3" max="3"/>
    <col width="60" customWidth="1" min="4" max="4"/>
  </cols>
  <sheetData>
    <row r="1">
      <c r="A1" s="1" t="inlineStr">
        <is>
          <t>evaluate-interpret run: Codex 3 (evaluator_model=gpt-5.4-mini)</t>
        </is>
      </c>
    </row>
    <row r="3">
      <c r="A3" s="3" t="inlineStr">
        <is>
          <t>Field</t>
        </is>
      </c>
      <c r="B3" s="3" t="inlineStr">
        <is>
          <t>What the agent wrote (interpret_results.json)</t>
        </is>
      </c>
      <c r="C3" s="3" t="inlineStr">
        <is>
          <t>Score (0-3)</t>
        </is>
      </c>
      <c r="D3" s="3" t="inlineStr">
        <is>
          <t>Judge's explanation</t>
        </is>
      </c>
    </row>
    <row r="4" ht="90" customHeight="1">
      <c r="A4" s="8" t="inlineStr">
        <is>
          <t>Interpretation Summary</t>
        </is>
      </c>
      <c r="B4" s="9"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4" t="n">
        <v>3</v>
      </c>
      <c r="D4" s="9" t="inlineStr">
        <is>
          <t>Accurately captures the core replication outcome: the static scarcity-of-labor model for Figure 6 was reproduced, the thresholds match the reference values for both parameter cases (0.5 and 0.909090909), and the qualitative pattern of output rising then plateauing with redistribution from wages to capital is consistent with the reference. Minor wording differences and extra validation language do not alter the substantive match.</t>
        </is>
      </c>
    </row>
    <row r="5" ht="90" customHeight="1">
      <c r="A5" s="8" t="inlineStr">
        <is>
          <t>Execute Status</t>
        </is>
      </c>
      <c r="B5" s="9" t="inlineStr">
        <is>
          <t>Success</t>
        </is>
      </c>
      <c r="C5" s="4" t="n">
        <v>3</v>
      </c>
      <c r="D5" s="9" t="inlineStr">
        <is>
          <t>The report indicates a successful execution, which is consistent with the reference because the replication criteria were satisfied and the implementation matches the reference behavior.</t>
        </is>
      </c>
    </row>
    <row r="6" ht="90" customHeight="1">
      <c r="A6" s="8" t="inlineStr">
        <is>
          <t>Fidelity: Method Alignment</t>
        </is>
      </c>
      <c r="B6" s="9"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4" t="n">
        <v>3</v>
      </c>
      <c r="D6" s="9" t="inlineStr">
        <is>
          <t>The method description aligns closely with the reference: deterministic evaluation of the static scarcity-of-labor model, checking output, wage bill, capital returns, and threshold behavior for Figure 6. This matches the intended model and verification focus in the reference.</t>
        </is>
      </c>
    </row>
    <row r="7" ht="90" customHeight="1">
      <c r="A7" s="8" t="inlineStr">
        <is>
          <t>Fidelity: Deviation 1 (issue)</t>
        </is>
      </c>
      <c r="B7" s="9" t="inlineStr">
        <is>
          <t>The replication used a numerical grid of 1,001 automation values rather than a closed-form symbolic reproduction of the figure.</t>
        </is>
      </c>
      <c r="C7" s="4" t="n">
        <v>2</v>
      </c>
      <c r="D7" s="9" t="inlineStr">
        <is>
          <t>Using a numerical grid of 1,001 automation values rather than a symbolic derivation is not described as a problem in the reference and is compatible with the verification approach, though the reference emphasizes spot-check points rather than a full grid. The deviation is minor and not substantive.</t>
        </is>
      </c>
    </row>
    <row r="8" ht="90" customHeight="1">
      <c r="A8" s="8" t="inlineStr">
        <is>
          <t>Fidelity: Deviation 1 (impact)</t>
        </is>
      </c>
      <c r="B8" s="9" t="inlineStr">
        <is>
          <t>Low: this is consistent with the preregistered plan and did not affect the substantive results.</t>
        </is>
      </c>
      <c r="C8" s="4" t="n">
        <v>3</v>
      </c>
      <c r="D8" s="9" t="inlineStr">
        <is>
          <t>The stated impact is consistent with the reference: this choice does not change the key thresholds or qualitative results and therefore does not affect substantive fidelity.</t>
        </is>
      </c>
    </row>
    <row r="9" ht="90" customHeight="1">
      <c r="A9" s="8" t="inlineStr">
        <is>
          <t>Fidelity: Deviation 2 (issue)</t>
        </is>
      </c>
      <c r="B9" s="9" t="inlineStr">
        <is>
          <t>The figure was reproduced as an SVG and numerical CSV rather than only a visual plot.</t>
        </is>
      </c>
      <c r="C9" s="4" t="n">
        <v>2</v>
      </c>
      <c r="D9" s="9" t="inlineStr">
        <is>
          <t>Reporting SVG and CSV outputs instead of only a visual plot is an implementation detail not discussed in the reference. It is not a mismatch with the underlying replication claim, but it is extra information beyond the reference.</t>
        </is>
      </c>
    </row>
    <row r="10" ht="90" customHeight="1">
      <c r="A10" s="8" t="inlineStr">
        <is>
          <t>Fidelity: Deviation 2 (impact)</t>
        </is>
      </c>
      <c r="B10" s="9" t="inlineStr">
        <is>
          <t>None: this improves reproducibility and does not alter the model results.</t>
        </is>
      </c>
      <c r="C10" s="4" t="n">
        <v>3</v>
      </c>
      <c r="D10" s="9" t="inlineStr">
        <is>
          <t>The claim of no impact is appropriate because file format/output packaging does not alter the model results or comparison criteria.</t>
        </is>
      </c>
    </row>
    <row r="11" ht="90" customHeight="1">
      <c r="A11" s="8" t="inlineStr">
        <is>
          <t>Results: Hypothesis Tested</t>
        </is>
      </c>
      <c r="B11" s="9" t="inlineStr">
        <is>
          <t>In the paper's static scarcity-of-labor model, increasing the automated-task fraction Phi raises output until the labor-scarcity threshold and changes its division between the wage bill and capital returns; the threshold is Phi-hat = (K/L)/(1 + K/L).</t>
        </is>
      </c>
      <c r="C11" s="4" t="n">
        <v>3</v>
      </c>
      <c r="D11" s="9" t="inlineStr">
        <is>
          <t>The hypothesis is restated faithfully: rising automation fraction Phi affects output, wages, and capital returns, with the threshold formula Phi*=(K/L)/(1+K/L). This matches the reference claim and the underlying model structure.</t>
        </is>
      </c>
    </row>
    <row r="12" ht="90" customHeight="1">
      <c r="A12" s="8" t="inlineStr">
        <is>
          <t>Results: Original Results</t>
        </is>
      </c>
      <c r="B12" s="9"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4" t="n">
        <v>2</v>
      </c>
      <c r="D12" s="9" t="inlineStr">
        <is>
          <t>The summary correctly states the key original findings and the threshold values, and it captures the qualitative behavior in both cases. However, it omits the specific wage-bill peak and the approximately 85% decline in the abundant-capital case, which are important details in the reference.</t>
        </is>
      </c>
    </row>
    <row r="13" ht="90" customHeight="1">
      <c r="A13" s="8" t="inlineStr">
        <is>
          <t>Results: Replication Results</t>
        </is>
      </c>
      <c r="B13" s="9"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4" t="n">
        <v>3</v>
      </c>
      <c r="D13" s="9" t="inlineStr">
        <is>
          <t>The replication results correctly report the matching thresholds (0.5 and 0.909090909), the expected output levels (1 to 2 and 1 to 11), and machine-precision accounting errors. This is highly consistent with the reference verification details.</t>
        </is>
      </c>
    </row>
    <row r="14" ht="90" customHeight="1">
      <c r="A14" s="8" t="inlineStr">
        <is>
          <t>Results: Overall Answer</t>
        </is>
      </c>
      <c r="B14" s="9" t="inlineStr">
        <is>
          <t>Yes for the focal claim; the replication matches the preregistered comparison criteria and reproduces the theoretical pattern in Figure 6.</t>
        </is>
      </c>
      <c r="C14" s="4" t="n">
        <v>3</v>
      </c>
      <c r="D14" s="9" t="inlineStr">
        <is>
          <t>The answer is consistent with the reference: the focal claim is satisfied and the model pattern is reproduced. The reference criteria focus on threshold, shape, and key magnitudes, all of which are matched here.</t>
        </is>
      </c>
    </row>
    <row r="15" ht="90" customHeight="1">
      <c r="A15" s="8" t="inlineStr">
        <is>
          <t>Replication Report</t>
        </is>
      </c>
      <c r="B15" s="9" t="inlineStr">
        <is>
          <t>Replication successful: the static scarcity-of-labor model was reproduced faithfully, with thresholds and output paths matching the original Figure 6 and validation checks passing.</t>
        </is>
      </c>
      <c r="C15" s="4" t="n">
        <v>3</v>
      </c>
      <c r="D15" s="9" t="inlineStr">
        <is>
          <t>The short summary accurately reflects the successful faithful reproduction of Figure 6, including threshold and output-path agreement. It is concise but substantively aligned with the reference.</t>
        </is>
      </c>
    </row>
    <row r="16" ht="90" customHeight="1">
      <c r="A16" s="8" t="inlineStr">
        <is>
          <t>Failure Handling 1 (type)</t>
        </is>
      </c>
      <c r="B16" s="9" t="inlineStr">
        <is>
          <t>Results/Output Failures</t>
        </is>
      </c>
      <c r="C16" s="4" t="n">
        <v>2</v>
      </c>
      <c r="D16" s="9" t="inlineStr">
        <is>
          <t>Labeling the issue as Results/Output Failures is somewhat reasonable only in the sense of suggesting benchmarking improvements, but the reference indicates no substantive failure. The field is not strongly grounded in an actual failure from the reference.</t>
        </is>
      </c>
    </row>
    <row r="17" ht="90" customHeight="1">
      <c r="A17" s="8" t="inlineStr">
        <is>
          <t>Failure Handling 1 (suggestions)</t>
        </is>
      </c>
      <c r="B17" s="9" t="inlineStr">
        <is>
          <t>No substantive failure occurred. If future comparisons require tighter benchmarking, provide a reference numerical table or exact plotting conventions from the original figure.</t>
        </is>
      </c>
      <c r="C17" s="4" t="n">
        <v>2</v>
      </c>
      <c r="D17" s="9" t="inlineStr">
        <is>
          <t>The suggestion to provide a reference numerical table or plotting conventions is feasible and relevant, but the reference does not identify a real results failure. Thus the guidance is useful but not strongly necessary.</t>
        </is>
      </c>
    </row>
    <row r="18" ht="90" customHeight="1">
      <c r="A18" s="8" t="inlineStr">
        <is>
          <t>Failure Handling 2 (type)</t>
        </is>
      </c>
      <c r="B18" s="9" t="inlineStr">
        <is>
          <t>Method/Alignment Failures</t>
        </is>
      </c>
      <c r="C18" s="4" t="n">
        <v>2</v>
      </c>
      <c r="D18" s="9" t="inlineStr">
        <is>
          <t>Method/Alignment Failures is a plausible category for discussing exact grid matching or interpolation conventions, but the reference states there was no deviation. It is not an actual failure in this case.</t>
        </is>
      </c>
    </row>
    <row r="19" ht="90" customHeight="1">
      <c r="A19" s="8" t="inlineStr">
        <is>
          <t>Failure Handling 2 (suggestions)</t>
        </is>
      </c>
      <c r="B19" s="9" t="inlineStr">
        <is>
          <t>No major deviation detected. If a later replication needs stronger comparability, specify whether the figure should be matched at exact grid points or via continuous interpolation.</t>
        </is>
      </c>
      <c r="C19" s="4" t="n">
        <v>3</v>
      </c>
      <c r="D19" s="9" t="inlineStr">
        <is>
          <t>The suggestion to specify whether the figure should match exact grid points or continuous interpolation is clear, specific, and actionable, and it is consistent with the reference's discussion of verification methodology.</t>
        </is>
      </c>
    </row>
    <row r="20" ht="90" customHeight="1">
      <c r="A20" s="8" t="inlineStr">
        <is>
          <t>Notes</t>
        </is>
      </c>
      <c r="B20" s="9"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4" t="n">
        <v>3</v>
      </c>
      <c r="D20" s="9" t="inlineStr">
        <is>
          <t>The notes correctly state that this is a deterministic theoretical replication, that statistical significance is not applicable, and that success is evidenced by exact thresholds and machine-precision agreement. The output file paths are extra but harmless.</t>
        </is>
      </c>
    </row>
    <row r="21">
      <c r="A21" s="8" t="inlineStr">
        <is>
          <t>Total</t>
        </is>
      </c>
      <c r="B21" s="5" t="n"/>
      <c r="C21" s="8">
        <f>SUM(C4:C20)</f>
        <v/>
      </c>
      <c r="D21" s="5" t="n"/>
    </row>
    <row r="22">
      <c r="A22" s="8" t="inlineStr">
        <is>
          <t>Max possible</t>
        </is>
      </c>
      <c r="B22" s="5" t="n"/>
      <c r="C22" s="8">
        <f>COUNT(C4:C20)*3</f>
        <v/>
      </c>
      <c r="D22" s="5" t="n"/>
    </row>
    <row r="23">
      <c r="A23" s="8" t="inlineStr">
        <is>
          <t>Percentage</t>
        </is>
      </c>
      <c r="B23" s="5" t="n"/>
      <c r="C23" s="10">
        <f>C21/C22</f>
        <v/>
      </c>
      <c r="D23" s="5" t="n"/>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2026-08-10T06:19:53Z</dcterms:created>
  <dcterms:modified xmlns:dcterms="http://purl.org/dc/terms/" xmlns:xsi="http://www.w3.org/2001/XMLSchema-instance" xsi:type="dcterms:W3CDTF">2026-08-10T06:19:53Z</dcterms:modified>
</cp:coreProperties>
</file>