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heet" sheetId="2" state="visible" r:id="rId2"/>
    <sheet xmlns:r="http://schemas.openxmlformats.org/officeDocument/2006/relationships" name="RA 1" sheetId="3" state="visible" r:id="rId3"/>
    <sheet xmlns:r="http://schemas.openxmlformats.org/officeDocument/2006/relationships" name="RA 2" sheetId="4" state="visible" r:id="rId4"/>
    <sheet xmlns:r="http://schemas.openxmlformats.org/officeDocument/2006/relationships" name="RA 3" sheetId="5" state="visible" r:id="rId5"/>
    <sheet xmlns:r="http://schemas.openxmlformats.org/officeDocument/2006/relationships" name="Codex 1" sheetId="6" state="visible" r:id="rId6"/>
    <sheet xmlns:r="http://schemas.openxmlformats.org/officeDocument/2006/relationships" name="Codex 2" sheetId="7" state="visible" r:id="rId7"/>
    <sheet xmlns:r="http://schemas.openxmlformats.org/officeDocument/2006/relationships" name="Codex 3"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sz val="14"/>
    </font>
    <font>
      <name val="Arial"/>
      <b val="1"/>
      <color rgb="00FFFFFF"/>
    </font>
    <font>
      <name val="Arial"/>
      <b val="1"/>
    </font>
    <font>
      <name val="Arial"/>
      <sz val="10"/>
    </font>
    <font>
      <name val="Arial"/>
      <i val="1"/>
      <color rgb="00666666"/>
      <sz val="9"/>
    </font>
  </fonts>
  <fills count="3">
    <fill>
      <patternFill/>
    </fill>
    <fill>
      <patternFill patternType="gray125"/>
    </fill>
    <fill>
      <patternFill patternType="solid">
        <fgColor rgb="002A609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0" borderId="0" pivotButton="0" quotePrefix="0" xfId="0"/>
    <xf numFmtId="0" fontId="5" fillId="0" borderId="0" pivotButton="0" quotePrefix="0" xfId="0"/>
    <xf numFmtId="0" fontId="2" fillId="2" borderId="1" applyAlignment="1" pivotButton="0" quotePrefix="0" xfId="0">
      <alignment horizontal="center" vertical="center" wrapText="1"/>
    </xf>
    <xf numFmtId="0" fontId="4" fillId="0" borderId="1" pivotButton="0" quotePrefix="0" xfId="0"/>
    <xf numFmtId="0" fontId="0" fillId="0" borderId="1" pivotButton="0" quotePrefix="0" xfId="0"/>
    <xf numFmtId="164" fontId="0" fillId="0" borderId="1" pivotButton="0" quotePrefix="0" xfId="0"/>
    <xf numFmtId="0" fontId="3" fillId="0" borderId="0" pivotButton="0" quotePrefix="0" xfId="0"/>
    <xf numFmtId="0" fontId="3" fillId="0" borderId="1" pivotButton="0" quotePrefix="0" xfId="0"/>
    <xf numFmtId="0" fontId="4" fillId="0" borderId="1" applyAlignment="1" pivotButton="0" quotePrefix="0" xfId="0">
      <alignment vertical="top" wrapText="1"/>
    </xf>
    <xf numFmtId="164"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2" customWidth="1" min="1" max="1"/>
    <col width="22" customWidth="1" min="2" max="2"/>
    <col width="18" customWidth="1" min="3" max="3"/>
    <col width="14" customWidth="1" min="4" max="4"/>
  </cols>
  <sheetData>
    <row r="1">
      <c r="A1" s="1" t="inlineStr">
        <is>
          <t>evaluate-interpret: RA (Task A) vs Codex (Task B), gpt-4o judge, 3 runs each</t>
        </is>
      </c>
    </row>
    <row r="2">
      <c r="A2" s="2" t="inlineStr">
        <is>
          <t>Task A = ReplicatorAgent hard tier. Task B = Codex fresh run. Both graded against gt/human_report.docx.</t>
        </is>
      </c>
    </row>
    <row r="4">
      <c r="A4" s="3" t="inlineStr">
        <is>
          <t>Run</t>
        </is>
      </c>
      <c r="B4" s="3" t="inlineStr">
        <is>
          <t>Task</t>
        </is>
      </c>
      <c r="C4" s="3" t="inlineStr">
        <is>
          <t>Total score</t>
        </is>
      </c>
      <c r="D4" s="3" t="inlineStr">
        <is>
          <t>Percentage</t>
        </is>
      </c>
    </row>
    <row r="5">
      <c r="A5" s="4" t="inlineStr">
        <is>
          <t>RA 1</t>
        </is>
      </c>
      <c r="B5" s="4" t="inlineStr">
        <is>
          <t>Task A (RA)</t>
        </is>
      </c>
      <c r="C5" s="5">
        <f>'RA 1'!C21&amp;"/"&amp;'RA 1'!C22</f>
        <v/>
      </c>
      <c r="D5" s="6">
        <f>'RA 1'!C23</f>
        <v/>
      </c>
    </row>
    <row r="6">
      <c r="A6" s="4" t="inlineStr">
        <is>
          <t>RA 2</t>
        </is>
      </c>
      <c r="B6" s="4" t="inlineStr">
        <is>
          <t>Task A (RA)</t>
        </is>
      </c>
      <c r="C6" s="5">
        <f>'RA 2'!C21&amp;"/"&amp;'RA 2'!C22</f>
        <v/>
      </c>
      <c r="D6" s="6">
        <f>'RA 2'!C23</f>
        <v/>
      </c>
    </row>
    <row r="7">
      <c r="A7" s="4" t="inlineStr">
        <is>
          <t>RA 3</t>
        </is>
      </c>
      <c r="B7" s="4" t="inlineStr">
        <is>
          <t>Task A (RA)</t>
        </is>
      </c>
      <c r="C7" s="5">
        <f>'RA 3'!C21&amp;"/"&amp;'RA 3'!C22</f>
        <v/>
      </c>
      <c r="D7" s="6">
        <f>'RA 3'!C23</f>
        <v/>
      </c>
    </row>
    <row r="8">
      <c r="A8" s="4" t="inlineStr">
        <is>
          <t>Codex 1</t>
        </is>
      </c>
      <c r="B8" s="4" t="inlineStr">
        <is>
          <t>Task B (Codex)</t>
        </is>
      </c>
      <c r="C8" s="5">
        <f>'Codex 1'!C17&amp;"/"&amp;'Codex 1'!C18</f>
        <v/>
      </c>
      <c r="D8" s="6">
        <f>'Codex 1'!C19</f>
        <v/>
      </c>
    </row>
    <row r="9">
      <c r="A9" s="4" t="inlineStr">
        <is>
          <t>Codex 2</t>
        </is>
      </c>
      <c r="B9" s="4" t="inlineStr">
        <is>
          <t>Task B (Codex)</t>
        </is>
      </c>
      <c r="C9" s="5">
        <f>'Codex 2'!C21&amp;"/"&amp;'Codex 2'!C22</f>
        <v/>
      </c>
      <c r="D9" s="6">
        <f>'Codex 2'!C23</f>
        <v/>
      </c>
    </row>
    <row r="10">
      <c r="A10" s="4" t="inlineStr">
        <is>
          <t>Codex 3</t>
        </is>
      </c>
      <c r="B10" s="4" t="inlineStr">
        <is>
          <t>Task B (Codex)</t>
        </is>
      </c>
      <c r="C10" s="5">
        <f>'Codex 3'!C21&amp;"/"&amp;'Codex 3'!C22</f>
        <v/>
      </c>
      <c r="D10" s="6">
        <f>'Codex 3'!C23</f>
        <v/>
      </c>
    </row>
    <row r="12">
      <c r="A12" s="7" t="inlineStr">
        <is>
          <t>Comparison</t>
        </is>
      </c>
    </row>
    <row r="13">
      <c r="A13" s="3" t="inlineStr">
        <is>
          <t>Metric</t>
        </is>
      </c>
      <c r="B13" s="3" t="inlineStr">
        <is>
          <t>Task A (RA)</t>
        </is>
      </c>
      <c r="C13" s="3" t="inlineStr">
        <is>
          <t>Task B (Codex)</t>
        </is>
      </c>
    </row>
    <row r="14">
      <c r="A14" s="4" t="inlineStr">
        <is>
          <t>Median score (%)</t>
        </is>
      </c>
      <c r="B14" s="6">
        <f>MEDIAN(D5:D7)</f>
        <v/>
      </c>
      <c r="C14" s="6">
        <f>MEDIAN(D8:D10)</f>
        <v/>
      </c>
    </row>
    <row r="15">
      <c r="A15" s="4" t="inlineStr">
        <is>
          <t>Mean score (%)</t>
        </is>
      </c>
      <c r="B15" s="6">
        <f>AVERAGE(D5:D7)</f>
        <v/>
      </c>
      <c r="C15" s="6">
        <f>AVERAGE(D8:D10)</f>
        <v/>
      </c>
    </row>
    <row r="16">
      <c r="A16" s="4" t="inlineStr">
        <is>
          <t>Min score (%)</t>
        </is>
      </c>
      <c r="B16" s="6">
        <f>MIN(D5:D7)</f>
        <v/>
      </c>
      <c r="C16" s="6">
        <f>MIN(D8:D10)</f>
        <v/>
      </c>
    </row>
    <row r="17">
      <c r="A17" s="4" t="inlineStr">
        <is>
          <t>Max score (%)</t>
        </is>
      </c>
      <c r="B17" s="6">
        <f>MAX(D5:D7)</f>
        <v/>
      </c>
      <c r="C17" s="6">
        <f>MAX(D8:D10)</f>
        <v/>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0" customWidth="1" min="1" max="1"/>
    <col width="60" customWidth="1" min="2" max="2"/>
    <col width="10" customWidth="1" min="3" max="3"/>
    <col width="60" customWidth="1" min="4" max="4"/>
  </cols>
  <sheetData>
    <row r="1">
      <c r="A1" s="1" t="inlineStr">
        <is>
          <t>evaluate-interpret run: RA 1 (evaluator_model=gpt-4o)</t>
        </is>
      </c>
    </row>
    <row r="3">
      <c r="A3" s="3" t="inlineStr">
        <is>
          <t>Field</t>
        </is>
      </c>
      <c r="B3" s="3" t="inlineStr">
        <is>
          <t>What the agent wrote (interpret_results.json)</t>
        </is>
      </c>
      <c r="C3" s="3" t="inlineStr">
        <is>
          <t>Score (0-3)</t>
        </is>
      </c>
      <c r="D3" s="3" t="inlineStr">
        <is>
          <t>Judge's explanation</t>
        </is>
      </c>
    </row>
    <row r="4" ht="90" customHeight="1">
      <c r="A4" s="8" t="inlineStr">
        <is>
          <t>Interpretation Summary</t>
        </is>
      </c>
      <c r="B4" s="9" t="inlineStr">
        <is>
          <t>The replication was a successful model-only reproduction of the paper’s static scarcity-of-labor Figure 6 claim. The executed Python code matched the preregistered plan closely: it implemented the two-regime equilibrium logic, evaluated the model over a dense grid of automation shares Φ, and generated outputs for both parameter cases (K=L=1 and K=10, L=1). The resulting curves reproduced the expected qualitative patterns: in the equal-endowment case, output increased and then plateaued around the threshold Φ*=0.5; in the abundant-capital case, the wage bill rose and then fell sharply near Φ*=0.9091 while capital income rose strongly. Because this is a theoretical simulation rather than an empirical estimation, there are no coefficients or p-values, but the replication clearly supports the focal claim.</t>
        </is>
      </c>
      <c r="C4" s="4" t="n">
        <v>3</v>
      </c>
      <c r="D4" s="9" t="inlineStr">
        <is>
          <t>The interpretation summary closely matches the high-level overview and logical flow of the replication process described in the reference. It accurately captures the qualitative behavior expected for the static scarcity-of-labor model and notes the relevance of the theoretical approach compared to empirical estimation.</t>
        </is>
      </c>
    </row>
    <row r="5" ht="90" customHeight="1">
      <c r="A5" s="8" t="inlineStr">
        <is>
          <t>Execute Status</t>
        </is>
      </c>
      <c r="B5" s="9" t="inlineStr">
        <is>
          <t>Success</t>
        </is>
      </c>
      <c r="C5" s="4" t="n">
        <v>3</v>
      </c>
      <c r="D5" s="9" t="inlineStr">
        <is>
          <t>The replication achieved success, aligning with the reference document's indications of correct implementation without deviations needing significant correction.</t>
        </is>
      </c>
    </row>
    <row r="6" ht="90" customHeight="1">
      <c r="A6" s="8" t="inlineStr">
        <is>
          <t>Fidelity: Method Alignment</t>
        </is>
      </c>
      <c r="B6" s="9" t="inlineStr">
        <is>
          <t>Full alignment with the preregistered plan. The replication used the static scarcity-of-labor model described in the paper, evaluated the two specified parameter cases, computed the threshold Φ*=K/(K+L), and produced numerical outputs and a plot over a dense Φ grid. The implementation followed the intended analytical simulation approach rather than introducing an empirical estimation strategy.</t>
        </is>
      </c>
      <c r="C6" s="4" t="n">
        <v>3</v>
      </c>
      <c r="D6" s="9" t="inlineStr">
        <is>
          <t>The reported alignment perfectly matches the reference, stating successful implementation of the theoretical model using the static scarcity-of-labor approach and considering specified parameter cases, mirroring the reference's instructions.</t>
        </is>
      </c>
    </row>
    <row r="7" ht="90" customHeight="1">
      <c r="A7" s="8" t="inlineStr">
        <is>
          <t>Fidelity: Deviation 1 (issue)</t>
        </is>
      </c>
      <c r="B7" s="9" t="inlineStr">
        <is>
          <t>The original paper’s Figure 6 is a stylized analytical figure, while the replication computed the same model numerically on a discrete grid.</t>
        </is>
      </c>
      <c r="C7" s="4" t="n">
        <v>3</v>
      </c>
      <c r="D7" s="9" t="inlineStr">
        <is>
          <t>The issue description corresponds paralleling the concept of differing presentation format mentioned in the reference without altering the model behavior or conclusions, thereby maintaining the expected qualitative analysis.</t>
        </is>
      </c>
    </row>
    <row r="8" ht="90" customHeight="1">
      <c r="A8" s="8" t="inlineStr">
        <is>
          <t>Fidelity: Deviation 1 (impact)</t>
        </is>
      </c>
      <c r="B8" s="9" t="inlineStr">
        <is>
          <t>Low: This changes presentation format, not the underlying model behavior or substantive conclusion.</t>
        </is>
      </c>
      <c r="C8" s="4" t="n">
        <v>3</v>
      </c>
      <c r="D8" s="9" t="inlineStr">
        <is>
          <t>The impact was assessed as 'low', matching the reference that indicates no substantive change in results, merely a presentation format difference.</t>
        </is>
      </c>
    </row>
    <row r="9" ht="90" customHeight="1">
      <c r="A9" s="8" t="inlineStr">
        <is>
          <t>Fidelity: Deviation 2 (issue)</t>
        </is>
      </c>
      <c r="B9" s="9" t="inlineStr">
        <is>
          <t>No external dataset was used because the claim is theoretical/model-based.</t>
        </is>
      </c>
      <c r="C9" s="4" t="n">
        <v>3</v>
      </c>
      <c r="D9" s="9" t="inlineStr">
        <is>
          <t>This deviation correctly identified the absence of an external dataset as consistent with a theoretical model replication, a point not explicitly mentioned in the document but logically consistent.</t>
        </is>
      </c>
    </row>
    <row r="10" ht="90" customHeight="1">
      <c r="A10" s="8" t="inlineStr">
        <is>
          <t>Fidelity: Deviation 2 (impact)</t>
        </is>
      </c>
      <c r="B10" s="9" t="inlineStr">
        <is>
          <t>None: This is appropriate for the claim and consistent with the replication plan.</t>
        </is>
      </c>
      <c r="C10" s="4" t="n">
        <v>3</v>
      </c>
      <c r="D10" s="9" t="inlineStr">
        <is>
          <t>The impact is stated as none, aligning with the reference document's assumptions for model-based claims, noting it does not deviate from the replication plan.</t>
        </is>
      </c>
    </row>
    <row r="11" ht="90" customHeight="1">
      <c r="A11" s="8" t="inlineStr">
        <is>
          <t>Results: Hypothesis Tested</t>
        </is>
      </c>
      <c r="B11" s="9" t="inlineStr">
        <is>
          <t>In the static scarcity-of-labor model for Figure 6, increasing the fraction of automated tasks Φ raises total output and the wage bill in the labor-scarce region, but once the economy crosses the threshold Φ* = K/(K+L), wages stop rising and capital income grows faster; with K=10 and L=1, the wage bill peaks and then falls sharply as Φ approaches the threshold.</t>
        </is>
      </c>
      <c r="C11" s="4" t="n">
        <v>2</v>
      </c>
      <c r="D11" s="9" t="inlineStr">
        <is>
          <t>Mostly similar to the hypothesis stated in the reference document, capturing the overall relationship and expected outcomes for the model. Minor phrasing differences exist but do not alter core understanding.</t>
        </is>
      </c>
    </row>
    <row r="12" ht="90" customHeight="1">
      <c r="A12" s="8" t="inlineStr">
        <is>
          <t>Results: Original Results</t>
        </is>
      </c>
      <c r="B12" s="9" t="inlineStr">
        <is>
          <t>The original paper’s Figure 6 implies a threshold-based regime change in the static scarcity-of-labor model. For the equal-endowment case (K=L=1), the threshold is Φ*=0.5 and output is expected to rise then flatten. For the abundant-capital case (K=10, L=1), the threshold is Φ*≈0.9091 and the wage bill is expected to rise and then fall sharply near the threshold while capital income rises.</t>
        </is>
      </c>
      <c r="C12" s="4" t="n">
        <v>2</v>
      </c>
      <c r="D12" s="9" t="inlineStr">
        <is>
          <t>Mostly similar. The summarization for the two cases aligns with the threshold and outcome description. However, numeric values for specific automations and peaks mentioned in reference are not all included in the presented JSON object.</t>
        </is>
      </c>
    </row>
    <row r="13" ht="90" customHeight="1">
      <c r="A13" s="8" t="inlineStr">
        <is>
          <t>Results: Replication Results</t>
        </is>
      </c>
      <c r="B13" s="9" t="inlineStr">
        <is>
          <t>The replication reproduced the same threshold values and qualitative patterns. For K=L=1, the computed threshold was Φ*=0.5, with output ranging from about 1.0016 to 252.1886 and the wage bill peaking at 1.0 before declining. For K=10, L=1, the computed threshold was Φ*≈0.9091, with output ranging from about 10.0022 to 3982.0717 and the wage bill ranging from 0 to 1.0, consistent with a rise-then-fall pattern near the threshold. Capital income increased strongly in both cases.</t>
        </is>
      </c>
      <c r="C13" s="4" t="n">
        <v>2</v>
      </c>
      <c r="D13" s="9" t="inlineStr">
        <is>
          <t>Mostly similar. The replication results accurately reflect the expected qualitative patterns and outputs, though some specific value comparisons present in the reference are abridged in this summary.</t>
        </is>
      </c>
    </row>
    <row r="14" ht="90" customHeight="1">
      <c r="A14" s="8" t="inlineStr">
        <is>
          <t>Results: Overall Answer</t>
        </is>
      </c>
      <c r="B14" s="9" t="inlineStr">
        <is>
          <t>Yes for the focal theoretical claim; the replication satisfies the preregistered comparison criteria qualitatively.</t>
        </is>
      </c>
      <c r="C14" s="4" t="n">
        <v>3</v>
      </c>
      <c r="D14" s="9" t="inlineStr">
        <is>
          <t>The overall answer directly addresses the alignment with preregistered criteria, noting that qualitative criteria were satisfied, consistent with the reference's expectations.</t>
        </is>
      </c>
    </row>
    <row r="15" ht="90" customHeight="1">
      <c r="A15" s="8" t="inlineStr">
        <is>
          <t>Replication Report</t>
        </is>
      </c>
      <c r="B15" s="9" t="inlineStr">
        <is>
          <t>Replication successful: the static scarcity-of-labor model reproduced the expected threshold behavior, with output plateauing in the equal-endowment case and the wage bill peaking then falling in the abundant-capital case.</t>
        </is>
      </c>
      <c r="C15" s="4" t="n">
        <v>3</v>
      </c>
      <c r="D15" s="9" t="inlineStr">
        <is>
          <t>The replication report concisely states successful replication of the model behavior, including threshold behavior and wage bill peaking, maintaining alignment with the conclusions drawn from both reference and replication criteria.</t>
        </is>
      </c>
    </row>
    <row r="16" ht="90" customHeight="1">
      <c r="A16" s="8" t="inlineStr">
        <is>
          <t>Failure Handling 1 (type)</t>
        </is>
      </c>
      <c r="B16" s="9" t="inlineStr">
        <is>
          <t>Results/Output Failures</t>
        </is>
      </c>
      <c r="C16" s="4" t="n">
        <v>3</v>
      </c>
      <c r="D16" s="9" t="inlineStr">
        <is>
          <t>Correctly identifies results/output considerations, with suggestions accurately aimed at improving result transparency for future iterations. The reference doesn't note any failure, and the suggestion logically fits.</t>
        </is>
      </c>
    </row>
    <row r="17" ht="90" customHeight="1">
      <c r="A17" s="8" t="inlineStr">
        <is>
          <t>Failure Handling 1 (suggestions)</t>
        </is>
      </c>
      <c r="B17" s="9" t="inlineStr">
        <is>
          <t>No substantive failure occurred, but future replications could report explicit curve-shape diagnostics (e.g., monotonicity checks and threshold-crossing summaries) to make comparison even more transparent.</t>
        </is>
      </c>
      <c r="C17" s="4" t="n">
        <v>3</v>
      </c>
      <c r="D17" s="9" t="inlineStr">
        <is>
          <t>The suggestion for additional diagnostics is clear and enhances understanding of result shape which aligns with exact comparison factors highlighted in the reference document.</t>
        </is>
      </c>
    </row>
    <row r="18" ht="90" customHeight="1">
      <c r="A18" s="8" t="inlineStr">
        <is>
          <t>Failure Handling 2 (type)</t>
        </is>
      </c>
      <c r="B18" s="9" t="inlineStr">
        <is>
          <t>Method/Alignment Failures</t>
        </is>
      </c>
      <c r="C18" s="4" t="n">
        <v>3</v>
      </c>
      <c r="D18" s="9" t="inlineStr">
        <is>
          <t>Identified method/alignment issues where documenting algebraic transit from paper equations to code in stricter detail is suggested, supporting full fidelity as referenced by documentation handling in the source.</t>
        </is>
      </c>
    </row>
    <row r="19" ht="90" customHeight="1">
      <c r="A19" s="8" t="inlineStr">
        <is>
          <t>Failure Handling 2 (suggestions)</t>
        </is>
      </c>
      <c r="B19" s="9" t="inlineStr">
        <is>
          <t>If stricter fidelity is desired, document the exact algebraic mapping from the paper’s equations to the code and include a direct comparison against the published figure values at selected Φ points.</t>
        </is>
      </c>
      <c r="C19" s="4" t="n">
        <v>3</v>
      </c>
      <c r="D19" s="9" t="inlineStr">
        <is>
          <t>Recommendations are specific and contribute to a deeper documentation process, making them feasible, aligned with suggestions for future cross-referential accuracy.</t>
        </is>
      </c>
    </row>
    <row r="20" ht="90" customHeight="1">
      <c r="A20" s="8" t="inlineStr">
        <is>
          <t>Notes</t>
        </is>
      </c>
      <c r="B20" s="9" t="inlineStr">
        <is>
          <t>This is a theoretical replication, so statistical significance metrics are not applicable. The main evidence comes from matching the model structure, threshold values, and qualitative curve shapes. The generated outputs and figure file indicate the implementation ran correctly and produced the intended results.</t>
        </is>
      </c>
      <c r="C20" s="4" t="n">
        <v>3</v>
      </c>
      <c r="D20" s="9" t="inlineStr">
        <is>
          <t>The notes emphasize the replication's theoretical nature, correctly avoiding applicability of testing statistical significance and aligning with the informatively qualitative reflection in the reference document.</t>
        </is>
      </c>
    </row>
    <row r="21">
      <c r="A21" s="8" t="inlineStr">
        <is>
          <t>Total</t>
        </is>
      </c>
      <c r="B21" s="5" t="n"/>
      <c r="C21" s="8">
        <f>SUM(C4:C20)</f>
        <v/>
      </c>
      <c r="D21" s="5" t="n"/>
    </row>
    <row r="22">
      <c r="A22" s="8" t="inlineStr">
        <is>
          <t>Max possible</t>
        </is>
      </c>
      <c r="B22" s="5" t="n"/>
      <c r="C22" s="8">
        <f>COUNT(C4:C20)*3</f>
        <v/>
      </c>
      <c r="D22" s="5" t="n"/>
    </row>
    <row r="23">
      <c r="A23" s="8" t="inlineStr">
        <is>
          <t>Percentage</t>
        </is>
      </c>
      <c r="B23" s="5" t="n"/>
      <c r="C23" s="10">
        <f>C21/C22</f>
        <v/>
      </c>
      <c r="D23" s="5" t="n"/>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0" customWidth="1" min="1" max="1"/>
    <col width="60" customWidth="1" min="2" max="2"/>
    <col width="10" customWidth="1" min="3" max="3"/>
    <col width="60" customWidth="1" min="4" max="4"/>
  </cols>
  <sheetData>
    <row r="1">
      <c r="A1" s="1" t="inlineStr">
        <is>
          <t>evaluate-interpret run: RA 2 (evaluator_model=gpt-4o)</t>
        </is>
      </c>
    </row>
    <row r="3">
      <c r="A3" s="3" t="inlineStr">
        <is>
          <t>Field</t>
        </is>
      </c>
      <c r="B3" s="3" t="inlineStr">
        <is>
          <t>What the agent wrote (interpret_results.json)</t>
        </is>
      </c>
      <c r="C3" s="3" t="inlineStr">
        <is>
          <t>Score (0-3)</t>
        </is>
      </c>
      <c r="D3" s="3" t="inlineStr">
        <is>
          <t>Judge's explanation</t>
        </is>
      </c>
    </row>
    <row r="4" ht="90" customHeight="1">
      <c r="A4" s="8" t="inlineStr">
        <is>
          <t>Interpretation Summary</t>
        </is>
      </c>
      <c r="B4" s="9" t="inlineStr">
        <is>
          <t>The replication was a successful model-only reproduction of the paper’s static scarcity-of-labor Figure 6 claim. The executed Python code matched the preregistered plan closely: it implemented the two-regime equilibrium logic, evaluated the model over a dense grid of automation shares Φ, and generated outputs for both parameter cases (K=L=1 and K=10, L=1). The resulting curves reproduced the expected qualitative patterns: in the equal-endowment case, output increased and then plateaued around the threshold Φ*=0.5; in the abundant-capital case, the wage bill rose and then fell sharply near Φ*=0.9091 while capital income rose strongly. Because this is a theoretical simulation rather than an empirical estimation, there are no coefficients or p-values, but the replication clearly supports the focal claim.</t>
        </is>
      </c>
      <c r="C4" s="4" t="n">
        <v>3</v>
      </c>
      <c r="D4" s="9" t="inlineStr">
        <is>
          <t>The interpretation summary accurately describes the replication process and the outcomes of the model-only reproduction. It closely matches the description and claims from the reference document regarding Figure 6.</t>
        </is>
      </c>
    </row>
    <row r="5" ht="90" customHeight="1">
      <c r="A5" s="8" t="inlineStr">
        <is>
          <t>Execute Status</t>
        </is>
      </c>
      <c r="B5" s="9" t="inlineStr">
        <is>
          <t>Success</t>
        </is>
      </c>
      <c r="C5" s="4" t="n">
        <v>3</v>
      </c>
      <c r="D5" s="9" t="inlineStr">
        <is>
          <t>The execution status of 'Success' is appropriate, as the replication matched the preregistration closely and reproduced expected qualitative patterns.</t>
        </is>
      </c>
    </row>
    <row r="6" ht="90" customHeight="1">
      <c r="A6" s="8" t="inlineStr">
        <is>
          <t>Fidelity: Method Alignment</t>
        </is>
      </c>
      <c r="B6" s="9" t="inlineStr">
        <is>
          <t>Full alignment with the preregistered plan. The replication used the static scarcity-of-labor model described in the paper, evaluated the two specified parameter cases, computed the threshold Φ*=K/(K+L), and produced numerical outputs and a plot over a dense Φ grid. The implementation followed the intended analytical simulation approach rather than introducing an empirical estimation strategy.</t>
        </is>
      </c>
      <c r="C6" s="4" t="n">
        <v>3</v>
      </c>
      <c r="D6" s="9" t="inlineStr">
        <is>
          <t>The method alignment is in full agreement with the reference document. The described process closely follows the specified model and parameter cases, matching the intended analytical simulation approach.</t>
        </is>
      </c>
    </row>
    <row r="7" ht="90" customHeight="1">
      <c r="A7" s="8" t="inlineStr">
        <is>
          <t>Fidelity: Deviation 1 (issue)</t>
        </is>
      </c>
      <c r="B7" s="9" t="inlineStr">
        <is>
          <t>The original paper’s Figure 6 is a stylized analytical figure, while the replication computed the same model numerically on a discrete grid.</t>
        </is>
      </c>
      <c r="C7" s="4" t="n">
        <v>3</v>
      </c>
      <c r="D7" s="9" t="inlineStr">
        <is>
          <t>The deviation, regarding the presentation format, is well-documented and aligns with the reference. The numerical computation on a discrete grid is consistent with the replication plan.</t>
        </is>
      </c>
    </row>
    <row r="8" ht="90" customHeight="1">
      <c r="A8" s="8" t="inlineStr">
        <is>
          <t>Fidelity: Deviation 1 (impact)</t>
        </is>
      </c>
      <c r="B8" s="9" t="inlineStr">
        <is>
          <t>Low: This changes presentation format, not the underlying model behavior or substantive conclusion.</t>
        </is>
      </c>
      <c r="C8" s="4" t="n">
        <v>3</v>
      </c>
      <c r="D8" s="9" t="inlineStr">
        <is>
          <t>The impact of this deviation is correctly assessed as 'Low,' as it changes only the presentation format without affecting model behavior or conclusions.</t>
        </is>
      </c>
    </row>
    <row r="9" ht="90" customHeight="1">
      <c r="A9" s="8" t="inlineStr">
        <is>
          <t>Fidelity: Deviation 2 (issue)</t>
        </is>
      </c>
      <c r="B9" s="9" t="inlineStr">
        <is>
          <t>No external dataset was used because the claim is theoretical/model-based.</t>
        </is>
      </c>
      <c r="C9" s="4" t="n">
        <v>3</v>
      </c>
      <c r="D9" s="9" t="inlineStr">
        <is>
          <t>The issue description about not using an external dataset due to the theoretical nature of the claim is appropriate and aligns with the reference information.</t>
        </is>
      </c>
    </row>
    <row r="10" ht="90" customHeight="1">
      <c r="A10" s="8" t="inlineStr">
        <is>
          <t>Fidelity: Deviation 2 (impact)</t>
        </is>
      </c>
      <c r="B10" s="9" t="inlineStr">
        <is>
          <t>None: This is appropriate for the claim and consistent with the replication plan.</t>
        </is>
      </c>
      <c r="C10" s="4" t="n">
        <v>3</v>
      </c>
      <c r="D10" s="9" t="inlineStr">
        <is>
          <t>The impact is correctly described as 'None,' since it is reasonable and aligns with the replication plan for a theoretical/model-based claim.</t>
        </is>
      </c>
    </row>
    <row r="11" ht="90" customHeight="1">
      <c r="A11" s="8" t="inlineStr">
        <is>
          <t>Results: Hypothesis Tested</t>
        </is>
      </c>
      <c r="B11" s="9" t="inlineStr">
        <is>
          <t>In the static scarcity-of-labor model for Figure 6, increasing the fraction of automated tasks Φ raises total output and the wage bill in the labor-scarce region, but once the economy crosses the threshold Φ* = K/(K+L), wages stop rising and capital income grows faster; with K=10 and L=1, the wage bill peaks and then falls sharply as Φ approaches the threshold.</t>
        </is>
      </c>
      <c r="C11" s="4" t="n">
        <v>3</v>
      </c>
      <c r="D11" s="9" t="inlineStr">
        <is>
          <t>The hypothesis tested is accurately restated, reflecting the threshold and its implications on output and wage dynamics as described in the reference.</t>
        </is>
      </c>
    </row>
    <row r="12" ht="90" customHeight="1">
      <c r="A12" s="8" t="inlineStr">
        <is>
          <t>Results: Original Results</t>
        </is>
      </c>
      <c r="B12" s="9" t="inlineStr">
        <is>
          <t>The original paper’s Figure 6 implies a threshold-based regime change in the static scarcity-of-labor model. For the equal-endowment case (K=L=1), the threshold is Φ*=0.5 and output is expected to rise then flatten. For the abundant-capital case (K=10, L=1), the threshold is Φ*≈0.9091 and the wage bill is expected to rise and then fall sharply near the threshold while capital income rises.</t>
        </is>
      </c>
      <c r="C12" s="4" t="n">
        <v>3</v>
      </c>
      <c r="D12" s="9" t="inlineStr">
        <is>
          <t>The summary of the original results aligns closely with the reference, detailing key numerical thresholds and behavior described in the publication.</t>
        </is>
      </c>
    </row>
    <row r="13" ht="90" customHeight="1">
      <c r="A13" s="8" t="inlineStr">
        <is>
          <t>Results: Replication Results</t>
        </is>
      </c>
      <c r="B13" s="9" t="inlineStr">
        <is>
          <t>The replication reproduced the same threshold values and qualitative patterns. For K=L=1, the computed threshold was Φ*=0.5, with output ranging from about 1.0016 to 252.1886 and the wage bill peaking at 1.0 before declining. For K=10, L=1, the computed threshold was Φ*≈0.9091, with output ranging from about 10.0022 to 3982.0717 and the wage bill ranging from 0 to 1.0, consistent with a rise-then-fall pattern near the threshold. Capital income increased strongly in both cases.</t>
        </is>
      </c>
      <c r="C13" s="4" t="n">
        <v>3</v>
      </c>
      <c r="D13" s="9" t="inlineStr">
        <is>
          <t>The replication results are described with sufficient detail, maintaining the essential information about model behavior and threshold values consistent with the reference.</t>
        </is>
      </c>
    </row>
    <row r="14" ht="90" customHeight="1">
      <c r="A14" s="8" t="inlineStr">
        <is>
          <t>Results: Overall Answer</t>
        </is>
      </c>
      <c r="B14" s="9" t="inlineStr">
        <is>
          <t>Yes for the focal theoretical claim; the replication satisfies the preregistered comparison criteria qualitatively.</t>
        </is>
      </c>
      <c r="C14" s="4" t="n">
        <v>3</v>
      </c>
      <c r="D14" s="9" t="inlineStr">
        <is>
          <t>The overall answer appropriately confirms that the replication meets the preregistered criteria, reflecting qualitative satisfaction for the claim specified in the reference.</t>
        </is>
      </c>
    </row>
    <row r="15" ht="90" customHeight="1">
      <c r="A15" s="8" t="inlineStr">
        <is>
          <t>Replication Report</t>
        </is>
      </c>
      <c r="B15" s="9" t="inlineStr">
        <is>
          <t>Replication successful: the static scarcity-of-labor model reproduced the expected threshold behavior, with output plateauing in the equal-endowment case and the wage bill peaking then falling in the abundant-capital case.</t>
        </is>
      </c>
      <c r="C15" s="4" t="n">
        <v>3</v>
      </c>
      <c r="D15" s="9" t="inlineStr">
        <is>
          <t>The replication report concisely encapsulates the successful replication of the expected model behavior, aligning well with the reference documentation.</t>
        </is>
      </c>
    </row>
    <row r="16" ht="90" customHeight="1">
      <c r="A16" s="8" t="inlineStr">
        <is>
          <t>Failure Handling 1 (type)</t>
        </is>
      </c>
      <c r="B16" s="9" t="inlineStr">
        <is>
          <t>Results/Output Failures</t>
        </is>
      </c>
      <c r="C16" s="4" t="n">
        <v>3</v>
      </c>
      <c r="D16" s="9" t="inlineStr">
        <is>
          <t>The identified failure type of 'Results/Output Failures' is appropriate given the suggestion context of improving comparison clarity. No serious failures were reported.</t>
        </is>
      </c>
    </row>
    <row r="17" ht="90" customHeight="1">
      <c r="A17" s="8" t="inlineStr">
        <is>
          <t>Failure Handling 1 (suggestions)</t>
        </is>
      </c>
      <c r="B17" s="9" t="inlineStr">
        <is>
          <t>No substantive failure occurred, but future replications could report explicit curve-shape diagnostics (e.g., monotonicity checks and threshold-crossing summaries) to make comparison even more transparent.</t>
        </is>
      </c>
      <c r="C17" s="4" t="n">
        <v>3</v>
      </c>
      <c r="D17" s="9" t="inlineStr">
        <is>
          <t>The suggestions provided are actionable and reasonable, aimed at enhancing transparency in future replications, aligning with good replication practices.</t>
        </is>
      </c>
    </row>
    <row r="18" ht="90" customHeight="1">
      <c r="A18" s="8" t="inlineStr">
        <is>
          <t>Failure Handling 2 (type)</t>
        </is>
      </c>
      <c r="B18" s="9" t="inlineStr">
        <is>
          <t>Method/Alignment Failures</t>
        </is>
      </c>
      <c r="C18" s="4" t="n">
        <v>3</v>
      </c>
      <c r="D18" s="9" t="inlineStr">
        <is>
          <t>The listed 'Method/Alignment Failures' are relevant given the context of achieving stricter fidelity, as described in the reference.</t>
        </is>
      </c>
    </row>
    <row r="19" ht="90" customHeight="1">
      <c r="A19" s="8" t="inlineStr">
        <is>
          <t>Failure Handling 2 (suggestions)</t>
        </is>
      </c>
      <c r="B19" s="9" t="inlineStr">
        <is>
          <t>If stricter fidelity is desired, document the exact algebraic mapping from the paper’s equations to the code and include a direct comparison against the published figure values at selected Φ points.</t>
        </is>
      </c>
      <c r="C19" s="4" t="n">
        <v>3</v>
      </c>
      <c r="D19" s="9" t="inlineStr">
        <is>
          <t>The suggestion to document algebraic mappings closely aligns with the need for clarity in method specification and enables better comparison.</t>
        </is>
      </c>
    </row>
    <row r="20" ht="90" customHeight="1">
      <c r="A20" s="8" t="inlineStr">
        <is>
          <t>Notes</t>
        </is>
      </c>
      <c r="B20" s="9" t="inlineStr">
        <is>
          <t>This is a theoretical replication, so statistical significance metrics are not applicable. The main evidence comes from matching the model structure, threshold values, and qualitative curve shapes. The generated outputs and figure file indicate the implementation ran correctly and produced the intended results.</t>
        </is>
      </c>
      <c r="C20" s="4" t="n">
        <v>3</v>
      </c>
      <c r="D20" s="9" t="inlineStr">
        <is>
          <t>The notes clarify that statistical measures don't apply to this theoretical context, accurately reflecting the focus on qualitative model aspects as described in the reference.</t>
        </is>
      </c>
    </row>
    <row r="21">
      <c r="A21" s="8" t="inlineStr">
        <is>
          <t>Total</t>
        </is>
      </c>
      <c r="B21" s="5" t="n"/>
      <c r="C21" s="8">
        <f>SUM(C4:C20)</f>
        <v/>
      </c>
      <c r="D21" s="5" t="n"/>
    </row>
    <row r="22">
      <c r="A22" s="8" t="inlineStr">
        <is>
          <t>Max possible</t>
        </is>
      </c>
      <c r="B22" s="5" t="n"/>
      <c r="C22" s="8">
        <f>COUNT(C4:C20)*3</f>
        <v/>
      </c>
      <c r="D22" s="5" t="n"/>
    </row>
    <row r="23">
      <c r="A23" s="8" t="inlineStr">
        <is>
          <t>Percentage</t>
        </is>
      </c>
      <c r="B23" s="5" t="n"/>
      <c r="C23" s="10">
        <f>C21/C22</f>
        <v/>
      </c>
      <c r="D23" s="5" t="n"/>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0" customWidth="1" min="1" max="1"/>
    <col width="60" customWidth="1" min="2" max="2"/>
    <col width="10" customWidth="1" min="3" max="3"/>
    <col width="60" customWidth="1" min="4" max="4"/>
  </cols>
  <sheetData>
    <row r="1">
      <c r="A1" s="1" t="inlineStr">
        <is>
          <t>evaluate-interpret run: RA 3 (evaluator_model=gpt-4o)</t>
        </is>
      </c>
    </row>
    <row r="3">
      <c r="A3" s="3" t="inlineStr">
        <is>
          <t>Field</t>
        </is>
      </c>
      <c r="B3" s="3" t="inlineStr">
        <is>
          <t>What the agent wrote (interpret_results.json)</t>
        </is>
      </c>
      <c r="C3" s="3" t="inlineStr">
        <is>
          <t>Score (0-3)</t>
        </is>
      </c>
      <c r="D3" s="3" t="inlineStr">
        <is>
          <t>Judge's explanation</t>
        </is>
      </c>
    </row>
    <row r="4" ht="90" customHeight="1">
      <c r="A4" s="8" t="inlineStr">
        <is>
          <t>Interpretation Summary</t>
        </is>
      </c>
      <c r="B4" s="9" t="inlineStr">
        <is>
          <t>The replication was a successful model-only reproduction of the paper’s static scarcity-of-labor Figure 6 claim. The executed Python code matched the preregistered plan closely: it implemented the two-regime equilibrium logic, evaluated the model over a dense grid of automation shares Φ, and generated outputs for both parameter cases (K=L=1 and K=10, L=1). The resulting curves reproduced the expected qualitative patterns: in the equal-endowment case, output increased and then plateaued around the threshold Φ*=0.5; in the abundant-capital case, the wage bill rose and then fell sharply near Φ*=0.9091 while capital income rose strongly. Because this is a theoretical simulation rather than an empirical estimation, there are no coefficients or p-values, but the replication clearly supports the focal claim.</t>
        </is>
      </c>
      <c r="C4" s="4" t="n">
        <v>3</v>
      </c>
      <c r="D4" s="9" t="inlineStr">
        <is>
          <t>The interpretation summary provides a comprehensive narrative of the replication process, focusing on the core claim in the reference document. It details the qualitative outcomes of the model and matches the narrative about the theoretical focus of the initial claim, as there are no empirical coefficients or p-values involved.</t>
        </is>
      </c>
    </row>
    <row r="5" ht="90" customHeight="1">
      <c r="A5" s="8" t="inlineStr">
        <is>
          <t>Execute Status</t>
        </is>
      </c>
      <c r="B5" s="9" t="inlineStr">
        <is>
          <t>Success</t>
        </is>
      </c>
      <c r="C5" s="4" t="n">
        <v>3</v>
      </c>
      <c r="D5" s="9" t="inlineStr">
        <is>
          <t>The execution status is listed as 'Success', indicating that the replication was conducted as intended and achieved the necessary comparisons without errors, consistent with the complete replication outcome.</t>
        </is>
      </c>
    </row>
    <row r="6" ht="90" customHeight="1">
      <c r="A6" s="8" t="inlineStr">
        <is>
          <t>Fidelity: Method Alignment</t>
        </is>
      </c>
      <c r="B6" s="9" t="inlineStr">
        <is>
          <t>Full alignment with the preregistered plan. The replication used the static scarcity-of-labor model described in the paper, evaluated the two specified parameter cases, computed the threshold Φ*=K/(K+L), and produced numerical outputs and a plot over a dense Φ grid. The implementation followed the intended analytical simulation approach rather than introducing an empirical estimation strategy.</t>
        </is>
      </c>
      <c r="C6" s="4" t="n">
        <v>2</v>
      </c>
      <c r="D6" s="9" t="inlineStr">
        <is>
          <t>While the method alignment matches the description provided and uses the model appropriately, it does not explicitly correspond all process steps with what is provided in the reference. However, the implementation style remains consistent with simulation priorities noted in the document.</t>
        </is>
      </c>
    </row>
    <row r="7" ht="90" customHeight="1">
      <c r="A7" s="8" t="inlineStr">
        <is>
          <t>Fidelity: Deviation 1 (issue)</t>
        </is>
      </c>
      <c r="B7" s="9" t="inlineStr">
        <is>
          <t>The original paper’s Figure 6 is a stylized analytical figure, while the replication computed the same model numerically on a discrete grid.</t>
        </is>
      </c>
      <c r="C7" s="4" t="n">
        <v>2</v>
      </c>
      <c r="D7" s="9" t="inlineStr">
        <is>
          <t>The issue description highlights differences mainly in the figure's presentation, which is noted without a similar description in the reference. While core model differences are not present, this deviation aligns with presentation outcomes rather than the model itself.</t>
        </is>
      </c>
    </row>
    <row r="8" ht="90" customHeight="1">
      <c r="A8" s="8" t="inlineStr">
        <is>
          <t>Fidelity: Deviation 1 (impact)</t>
        </is>
      </c>
      <c r="B8" s="9" t="inlineStr">
        <is>
          <t>Low: This changes presentation format, not the underlying model behavior or substantive conclusion.</t>
        </is>
      </c>
      <c r="C8" s="4" t="n">
        <v>3</v>
      </c>
      <c r="D8" s="9" t="inlineStr">
        <is>
          <t>The impact is rated as 'Low', correctly identifying that the change was in presentation rather than conclusion, consistent with how such a deviation would be prioritized and described in impact relevance.</t>
        </is>
      </c>
    </row>
    <row r="9" ht="90" customHeight="1">
      <c r="A9" s="8" t="inlineStr">
        <is>
          <t>Fidelity: Deviation 2 (issue)</t>
        </is>
      </c>
      <c r="B9" s="9" t="inlineStr">
        <is>
          <t>No external dataset was used because the claim is theoretical/model-based.</t>
        </is>
      </c>
      <c r="C9" s="4" t="n">
        <v>3</v>
      </c>
      <c r="D9" s="9" t="inlineStr">
        <is>
          <t>The statement accurately identifies the nature of the claim as model-based rather than empirical, which aligns effectively with the prerequisites of replication fidelity and arduous line up with model assumptions.</t>
        </is>
      </c>
    </row>
    <row r="10" ht="90" customHeight="1">
      <c r="A10" s="8" t="inlineStr">
        <is>
          <t>Fidelity: Deviation 2 (impact)</t>
        </is>
      </c>
      <c r="B10" s="9" t="inlineStr">
        <is>
          <t>None: This is appropriate for the claim and consistent with the replication plan.</t>
        </is>
      </c>
      <c r="C10" s="4" t="n">
        <v>3</v>
      </c>
      <c r="D10" s="9" t="inlineStr">
        <is>
          <t>The assessment rightly states no impact by not using an external dataset, as the replication follows theoretical model structures without empirical input requirements, consistent with reference document standards.</t>
        </is>
      </c>
    </row>
    <row r="11" ht="90" customHeight="1">
      <c r="A11" s="8" t="inlineStr">
        <is>
          <t>Results: Hypothesis Tested</t>
        </is>
      </c>
      <c r="B11" s="9" t="inlineStr">
        <is>
          <t>In the static scarcity-of-labor model for Figure 6, increasing the fraction of automated tasks Φ raises total output and the wage bill in the labor-scarce region, but once the economy crosses the threshold Φ* = K/(K+L), wages stop rising and capital income grows faster; with K=10 and L=1, the wage bill peaks and then falls sharply as Φ approaches the threshold.</t>
        </is>
      </c>
      <c r="C11" s="4" t="n">
        <v>3</v>
      </c>
      <c r="D11" s="9" t="inlineStr">
        <is>
          <t>The hypothesis tested is restatively complete and closely matches both the theoretical narrative and the core variable relationships depicted in the reference document.</t>
        </is>
      </c>
    </row>
    <row r="12" ht="90" customHeight="1">
      <c r="A12" s="8" t="inlineStr">
        <is>
          <t>Results: Original Results</t>
        </is>
      </c>
      <c r="B12" s="9" t="inlineStr">
        <is>
          <t>The original paper’s Figure 6 implies a threshold-based regime change in the static scarcity-of-labor model. For the equal-endowment case (K=L=1), the threshold is Φ*=0.5 and output is expected to rise then flatten. For the abundant-capital case (K=10, L=1), the threshold is Φ*≈0.9091 and the wage bill is expected to rise and then fall sharply near the threshold while capital income rises.</t>
        </is>
      </c>
      <c r="C12" s="4" t="n">
        <v>3</v>
      </c>
      <c r="D12" s="9" t="inlineStr">
        <is>
          <t>Original results are accurately paralleled with the correct metrics and qualitative narrative detailing parameter cases. The behavioral description of Figure 6 corresponds directly to the reference narrative.</t>
        </is>
      </c>
    </row>
    <row r="13" ht="90" customHeight="1">
      <c r="A13" s="8" t="inlineStr">
        <is>
          <t>Results: Replication Results</t>
        </is>
      </c>
      <c r="B13" s="9" t="inlineStr">
        <is>
          <t>The replication reproduced the same threshold values and qualitative patterns. For K=L=1, the computed threshold was Φ*=0.5, with output ranging from about 1.0016 to 252.1886 and the wage bill peaking at 1.0 before declining. For K=10, L=1, the computed threshold was Φ*≈0.9091, with output ranging from about 10.0022 to 3982.0717 and the wage bill ranging from 0 to 1.0, consistent with a rise-then-fall pattern near the threshold. Capital income increased strongly in both cases.</t>
        </is>
      </c>
      <c r="C13" s="4" t="n">
        <v>3</v>
      </c>
      <c r="D13" s="9" t="inlineStr">
        <is>
          <t>The replication results accurately restate key outcomes and threshold performance seen in the original reference, including qualitative structure and pattern consistency, not numerical discrepancies.</t>
        </is>
      </c>
    </row>
    <row r="14" ht="90" customHeight="1">
      <c r="A14" s="8" t="inlineStr">
        <is>
          <t>Results: Overall Answer</t>
        </is>
      </c>
      <c r="B14" s="9" t="inlineStr">
        <is>
          <t>Yes for the focal theoretical claim; the replication satisfies the preregistered comparison criteria qualitatively.</t>
        </is>
      </c>
      <c r="C14" s="4" t="n">
        <v>3</v>
      </c>
      <c r="D14" s="9" t="inlineStr">
        <is>
          <t>The answer confirms the replication success for the focal theoretical claim, matching the reference expectation and overview comparison criteria highlight.</t>
        </is>
      </c>
    </row>
    <row r="15" ht="90" customHeight="1">
      <c r="A15" s="8" t="inlineStr">
        <is>
          <t>Replication Report</t>
        </is>
      </c>
      <c r="B15" s="9" t="inlineStr">
        <is>
          <t>Replication successful: the static scarcity-of-labor model reproduced the expected threshold behavior, with output plateauing in the equal-endowment case and the wage bill peaking then falling in the abundant-capital case.</t>
        </is>
      </c>
      <c r="C15" s="4" t="n">
        <v>3</v>
      </c>
      <c r="D15" s="9" t="inlineStr">
        <is>
          <t>The replication report provides a summary accurate to both the structural thresholds and their respective behavior patterns anticipated in the reference, confirming expected structural compliance.</t>
        </is>
      </c>
    </row>
    <row r="16" ht="90" customHeight="1">
      <c r="A16" s="8" t="inlineStr">
        <is>
          <t>Failure Handling 1 (type)</t>
        </is>
      </c>
      <c r="B16" s="9" t="inlineStr">
        <is>
          <t>Results/Output Failures</t>
        </is>
      </c>
      <c r="C16" s="4" t="n">
        <v>3</v>
      </c>
      <c r="D16" s="9" t="inlineStr">
        <is>
          <t>Clearly labeled failure types identify general needs for comprehensive reporting, which is mentioned in areas like explicit diagnostic clarity and curve behavior analysis.</t>
        </is>
      </c>
    </row>
    <row r="17" ht="90" customHeight="1">
      <c r="A17" s="8" t="inlineStr">
        <is>
          <t>Failure Handling 1 (suggestions)</t>
        </is>
      </c>
      <c r="B17" s="9" t="inlineStr">
        <is>
          <t>No substantive failure occurred, but future replications could report explicit curve-shape diagnostics (e.g., monotonicity checks and threshold-crossing summaries) to make comparison even more transparent.</t>
        </is>
      </c>
      <c r="C17" s="4" t="n">
        <v>3</v>
      </c>
      <c r="D17" s="9" t="inlineStr">
        <is>
          <t>The suggestion effectively targets improvement in transparency and reporting efforts for future exercise attempts to enhance communication but report success ensures no immediate correction.</t>
        </is>
      </c>
    </row>
    <row r="18" ht="90" customHeight="1">
      <c r="A18" s="8" t="inlineStr">
        <is>
          <t>Failure Handling 2 (type)</t>
        </is>
      </c>
      <c r="B18" s="9" t="inlineStr">
        <is>
          <t>Method/Alignment Failures</t>
        </is>
      </c>
      <c r="C18" s="4" t="n">
        <v>3</v>
      </c>
      <c r="D18" s="9" t="inlineStr">
        <is>
          <t>Methods/alignment were adequately maintained in major constructs—identified needs were largely additional suggestions for documentation perfection.</t>
        </is>
      </c>
    </row>
    <row r="19" ht="90" customHeight="1">
      <c r="A19" s="8" t="inlineStr">
        <is>
          <t>Failure Handling 2 (suggestions)</t>
        </is>
      </c>
      <c r="B19" s="9" t="inlineStr">
        <is>
          <t>If stricter fidelity is desired, document the exact algebraic mapping from the paper’s equations to the code and include a direct comparison against the published figure values at selected Φ points.</t>
        </is>
      </c>
      <c r="C19" s="4" t="n">
        <v>3</v>
      </c>
      <c r="D19" s="9" t="inlineStr">
        <is>
          <t>Recommendations target enhancing documentation pathing from algebraic transformations to final outcomes, well-aligned for ensuring rigorous transparency in replication detail communication.</t>
        </is>
      </c>
    </row>
    <row r="20" ht="90" customHeight="1">
      <c r="A20" s="8" t="inlineStr">
        <is>
          <t>Notes</t>
        </is>
      </c>
      <c r="B20" s="9" t="inlineStr">
        <is>
          <t>This is a theoretical replication, so statistical significance metrics are not applicable. The main evidence comes from matching the model structure, threshold values, and qualitative curve shapes. The generated outputs and figure file indicate the implementation ran correctly and produced the intended results.</t>
        </is>
      </c>
      <c r="C20" s="4" t="n">
        <v>3</v>
      </c>
      <c r="D20" s="9" t="inlineStr">
        <is>
          <t>Notes address the theoretical scope and assumptions of the study, explicitly highlighting appropriate metrics and the non-applicability of empirical statistics confirmed in the replicated outcomes.</t>
        </is>
      </c>
    </row>
    <row r="21">
      <c r="A21" s="8" t="inlineStr">
        <is>
          <t>Total</t>
        </is>
      </c>
      <c r="B21" s="5" t="n"/>
      <c r="C21" s="8">
        <f>SUM(C4:C20)</f>
        <v/>
      </c>
      <c r="D21" s="5" t="n"/>
    </row>
    <row r="22">
      <c r="A22" s="8" t="inlineStr">
        <is>
          <t>Max possible</t>
        </is>
      </c>
      <c r="B22" s="5" t="n"/>
      <c r="C22" s="8">
        <f>COUNT(C4:C20)*3</f>
        <v/>
      </c>
      <c r="D22" s="5" t="n"/>
    </row>
    <row r="23">
      <c r="A23" s="8" t="inlineStr">
        <is>
          <t>Percentage</t>
        </is>
      </c>
      <c r="B23" s="5" t="n"/>
      <c r="C23" s="10">
        <f>C21/C22</f>
        <v/>
      </c>
      <c r="D23" s="5" t="n"/>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pane ySplit="3" topLeftCell="A4" activePane="bottomLeft" state="frozen"/>
      <selection pane="bottomLeft" activeCell="A1" sqref="A1"/>
    </sheetView>
  </sheetViews>
  <sheetFormatPr baseColWidth="8" defaultRowHeight="15"/>
  <cols>
    <col width="30" customWidth="1" min="1" max="1"/>
    <col width="60" customWidth="1" min="2" max="2"/>
    <col width="10" customWidth="1" min="3" max="3"/>
    <col width="60" customWidth="1" min="4" max="4"/>
  </cols>
  <sheetData>
    <row r="1">
      <c r="A1" s="1" t="inlineStr">
        <is>
          <t>evaluate-interpret run: Codex 1 (evaluator_model=gpt-4o)</t>
        </is>
      </c>
    </row>
    <row r="3">
      <c r="A3" s="3" t="inlineStr">
        <is>
          <t>Field</t>
        </is>
      </c>
      <c r="B3" s="3" t="inlineStr">
        <is>
          <t>What the agent wrote (interpret_results.json)</t>
        </is>
      </c>
      <c r="C3" s="3" t="inlineStr">
        <is>
          <t>Score (0-3)</t>
        </is>
      </c>
      <c r="D3" s="3" t="inlineStr">
        <is>
          <t>Judge's explanation</t>
        </is>
      </c>
    </row>
    <row r="4" ht="90" customHeight="1">
      <c r="A4" s="8" t="inlineStr">
        <is>
          <t>Interpretation Summary</t>
        </is>
      </c>
      <c r="B4" s="9" t="inlineStr">
        <is>
          <t>The replication successfully reproduced the paper’s static scarcity-of-labor model underlying Figure 6. The executed code matched the preregistered plan closely: it evaluated the model deterministically over a 1,001-point automation grid, computed total output plus its split into wages and capital returns, and validated key identities. The reported thresholds matched the theory exactly for both parameter cases (Phi=0.5 when K=L=1 and Phi=0.909090909 when K=10, L=1), with only machine-precision numerical error. Overall, the replication supports the original claim and reproduces the qualitative pattern of rising output followed by redistribution from wages to capital as automation increases.</t>
        </is>
      </c>
      <c r="C4" s="4" t="n">
        <v>3</v>
      </c>
      <c r="D4" s="9" t="inlineStr">
        <is>
          <t>The interpretation summary closely mirrors the description in the reference document, detailing the model and results with high fidelity to the original paper's intent and outcomes.</t>
        </is>
      </c>
    </row>
    <row r="5" ht="90" customHeight="1">
      <c r="A5" s="8" t="inlineStr">
        <is>
          <t>Execute Status</t>
        </is>
      </c>
      <c r="B5" s="9" t="inlineStr">
        <is>
          <t>Success</t>
        </is>
      </c>
      <c r="C5" s="4" t="n">
        <v>3</v>
      </c>
      <c r="D5" s="9" t="inlineStr">
        <is>
          <t>The execution status is marked as a 'Success,' consistent with the comprehensive and aligned results reported in relation to the replication.</t>
        </is>
      </c>
    </row>
    <row r="6" ht="90" customHeight="1">
      <c r="A6" s="8" t="inlineStr">
        <is>
          <t>Fidelity: Method Alignment</t>
        </is>
      </c>
      <c r="B6" s="9" t="inlineStr">
        <is>
          <t>Full alignment with the preregistered deterministic analytical reproduction. The implementation used the static scarcity-of-labor model from the paper, evaluated the relevant equilibrium regimes over the automation grid, and produced output, wage bill, and capital returns exactly as planned. Validation checks confirmed factor-income accounting, threshold continuity, and monotonic output.</t>
        </is>
      </c>
      <c r="C6" s="4" t="n">
        <v>3</v>
      </c>
      <c r="D6" s="9" t="inlineStr">
        <is>
          <t>The method alignment in the replication JSON is fully in agreement with the preregistered deterministic analytical reproduction mentioned in the reference document.</t>
        </is>
      </c>
    </row>
    <row r="7" ht="90" customHeight="1">
      <c r="A7" s="8" t="inlineStr">
        <is>
          <t>Fidelity: Deviations (issue, combined)</t>
        </is>
      </c>
      <c r="B7" s="9" t="inlineStr">
        <is>
          <t>[1] The replication used a numerical grid of 1,001 automation values rather than a closed-form symbolic reproduction of the figure. | [2] The figure was reproduced as an SVG and numerical CSV rather than only a visual plot.</t>
        </is>
      </c>
      <c r="C7" s="4" t="n">
        <v>2</v>
      </c>
      <c r="D7" s="9" t="inlineStr">
        <is>
          <t>The deviations described involve using a numerical grid and SVG reproduction instead of strictly symbolic or visual plot formats. This is a sensible documentation of deviations mainly affecting format rather than substantive results, which largely aligns with typical deviations in such scenarios.</t>
        </is>
      </c>
    </row>
    <row r="8" ht="90" customHeight="1">
      <c r="A8" s="8" t="inlineStr">
        <is>
          <t>Fidelity: Deviations (impact, combined)</t>
        </is>
      </c>
      <c r="B8" s="9" t="inlineStr">
        <is>
          <t>[1] Low: this is consistent with the preregistered plan and did not affect the substantive results. | [2] None: this improves reproducibility and does not alter the model results.</t>
        </is>
      </c>
      <c r="C8" s="4" t="n">
        <v>2</v>
      </c>
      <c r="D8" s="9" t="inlineStr">
        <is>
          <t>The impact of these deviations, as noted, is low, which reasonably reflects the adherence to the preregistered plan without affecting the substantive results.</t>
        </is>
      </c>
    </row>
    <row r="9" ht="90" customHeight="1">
      <c r="A9" s="8" t="inlineStr">
        <is>
          <t>Results: Hypothesis Tested</t>
        </is>
      </c>
      <c r="B9" s="9" t="inlineStr">
        <is>
          <t>In the paper's static scarcity-of-labor model, increasing the automated-task fraction Phi raises output until the labor-scarcity threshold and changes its division between the wage bill and capital returns; the threshold is Phi-hat = (K/L)/(1 + K/L).</t>
        </is>
      </c>
      <c r="C9" s="4" t="n">
        <v>3</v>
      </c>
      <c r="D9" s="9" t="inlineStr">
        <is>
          <t>The hypothesis tested clearly and accurately restates the focal claim about the model, consistent with the description in the reference document.</t>
        </is>
      </c>
    </row>
    <row r="10" ht="90" customHeight="1">
      <c r="A10" s="8" t="inlineStr">
        <is>
          <t>Results: Original Results</t>
        </is>
      </c>
      <c r="B10" s="9" t="inlineStr">
        <is>
          <t>Figure 6 in the original paper shows that for K=L=1, output rises monotonically until Phi=0.5 and then plateaus, while wages stop rising and capital returns absorb further gains. For K=10, L=1, the threshold is Phi=10/11≈0.909090909, with wages rising strongly before falling sharply and capital returns increasing rapidly. The original claim is theoretical/graphical rather than estimated with a coefficient and p-value.</t>
        </is>
      </c>
      <c r="C10" s="4" t="n">
        <v>3</v>
      </c>
      <c r="D10" s="9" t="inlineStr">
        <is>
          <t>The original results in the JSON match very closely with the detailed outcomes described for Figure 6 from the reference document, preserving the nuances and specifics of both cases.</t>
        </is>
      </c>
    </row>
    <row r="11" ht="90" customHeight="1">
      <c r="A11" s="8" t="inlineStr">
        <is>
          <t>Results: Replication Results</t>
        </is>
      </c>
      <c r="B11" s="9" t="inlineStr">
        <is>
          <t>The replication recovered the same thresholds: Phi=0.5 for equal endowments and Phi=0.909090909 for abundant capital. Validation reported near-zero accounting error (4.441e-16 and 7.105e-15), threshold continuity errors near machine precision, initial output of 1.0 in both cases, and full-automation output of 2.0 and 11.0 respectively. Output monotonicity passed in both cases.</t>
        </is>
      </c>
      <c r="C11" s="4" t="n">
        <v>3</v>
      </c>
      <c r="D11" s="9" t="inlineStr">
        <is>
          <t>Replication results accurately align with the reference document, including thresholds, described accounting errors, and model outcomes, ensuring high veracity and matching the original claims.</t>
        </is>
      </c>
    </row>
    <row r="12" ht="90" customHeight="1">
      <c r="A12" s="8" t="inlineStr">
        <is>
          <t>Results: Overall Answer</t>
        </is>
      </c>
      <c r="B12" s="9" t="inlineStr">
        <is>
          <t>Yes for the focal claim; the replication matches the preregistered comparison criteria and reproduces the theoretical pattern in Figure 6.</t>
        </is>
      </c>
      <c r="C12" s="4" t="n">
        <v>3</v>
      </c>
      <c r="D12" s="9" t="inlineStr">
        <is>
          <t>The overall answer confirms the consistency and success of the replication in matching the preregistered comparison criteria with great accuracy.</t>
        </is>
      </c>
    </row>
    <row r="13" ht="90" customHeight="1">
      <c r="A13" s="8" t="inlineStr">
        <is>
          <t>Replication Report</t>
        </is>
      </c>
      <c r="B13" s="9" t="inlineStr">
        <is>
          <t>Replication successful: the static scarcity-of-labor model was reproduced faithfully, with thresholds and output paths matching the original Figure 6 and validation checks passing.</t>
        </is>
      </c>
      <c r="C13" s="4" t="n">
        <v>3</v>
      </c>
      <c r="D13" s="9" t="inlineStr">
        <is>
          <t>The replication report is concise, accurate, and reflects the confirmation of the original findings as per the reference description.</t>
        </is>
      </c>
    </row>
    <row r="14" ht="90" customHeight="1">
      <c r="A14" s="8" t="inlineStr">
        <is>
          <t>Failure Handling (type, combined)</t>
        </is>
      </c>
      <c r="B14" s="9" t="inlineStr">
        <is>
          <t>[1] Results/Output Failures | [2] Method/Alignment Failures</t>
        </is>
      </c>
      <c r="C14" s="4" t="n">
        <v>2</v>
      </c>
      <c r="D14" s="9" t="inlineStr">
        <is>
          <t>While the suggested failure types are present, it primarily addresses potential issues and anticipates future steps. These suggestions emphasize methodological consistency rather than addressing current substantive failures.</t>
        </is>
      </c>
    </row>
    <row r="15" ht="90" customHeight="1">
      <c r="A15" s="8" t="inlineStr">
        <is>
          <t>Failure Handling (suggestions, combined)</t>
        </is>
      </c>
      <c r="B15" s="9" t="inlineStr">
        <is>
          <t>[1] No substantive failure occurred. If future comparisons require tighter benchmarking, provide a reference numerical table or exact plotting conventions from the original figure. | [2] No major deviation detected. If a later replication needs stronger comparability, specify whether the figure should be matched at exact grid points or via continuous interpolation.</t>
        </is>
      </c>
      <c r="C15" s="4" t="n">
        <v>2</v>
      </c>
      <c r="D15" s="9" t="inlineStr">
        <is>
          <t>Suggestions provided are relevant and adaptively accommodate anticipated needs for stricter methodological alignment in future replications.</t>
        </is>
      </c>
    </row>
    <row r="16" ht="90" customHeight="1">
      <c r="A16" s="8" t="inlineStr">
        <is>
          <t>Notes</t>
        </is>
      </c>
      <c r="B16" s="9" t="inlineStr">
        <is>
          <t>This was a deterministic theoretical replication rather than an empirical re-estimation, so statistical significance metrics are not applicable. The main evidence of success is exact recovery of the model-implied thresholds and machine-precision agreement on accounting identities. Output files were generated at /Users/juanlopez/sysrisk/agent_workspace/codex_scarcity_task_b/rb_input/results/figure6_results.csv, /Users/juanlopez/sysrisk/agent_workspace/codex_scarcity_task_b/rb_input/results/figure6_parameters.json, and /Users/juanlopez/sysrisk/agent_workspace/codex_scarcity_task_b/rb_input/results/figure6_reproduction.svg.</t>
        </is>
      </c>
      <c r="C16" s="4" t="n">
        <v>3</v>
      </c>
      <c r="D16" s="9" t="inlineStr">
        <is>
          <t>Notes accurately reflect the non-empirical nature of reproduction, highlighting exact recoveries of implied thresholds, consistent with expectations set by the reference document.</t>
        </is>
      </c>
    </row>
    <row r="17">
      <c r="A17" s="8" t="inlineStr">
        <is>
          <t>Total</t>
        </is>
      </c>
      <c r="B17" s="5" t="n"/>
      <c r="C17" s="8">
        <f>SUM(C4:C16)</f>
        <v/>
      </c>
      <c r="D17" s="5" t="n"/>
    </row>
    <row r="18">
      <c r="A18" s="8" t="inlineStr">
        <is>
          <t>Max possible</t>
        </is>
      </c>
      <c r="B18" s="5" t="n"/>
      <c r="C18" s="8">
        <f>COUNT(C4:C16)*3</f>
        <v/>
      </c>
      <c r="D18" s="5" t="n"/>
    </row>
    <row r="19">
      <c r="A19" s="8" t="inlineStr">
        <is>
          <t>Percentage</t>
        </is>
      </c>
      <c r="B19" s="5" t="n"/>
      <c r="C19" s="10">
        <f>C17/C18</f>
        <v/>
      </c>
      <c r="D19" s="5" t="n"/>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0" customWidth="1" min="1" max="1"/>
    <col width="60" customWidth="1" min="2" max="2"/>
    <col width="10" customWidth="1" min="3" max="3"/>
    <col width="60" customWidth="1" min="4" max="4"/>
  </cols>
  <sheetData>
    <row r="1">
      <c r="A1" s="1" t="inlineStr">
        <is>
          <t>evaluate-interpret run: Codex 2 (evaluator_model=gpt-4o)</t>
        </is>
      </c>
    </row>
    <row r="3">
      <c r="A3" s="3" t="inlineStr">
        <is>
          <t>Field</t>
        </is>
      </c>
      <c r="B3" s="3" t="inlineStr">
        <is>
          <t>What the agent wrote (interpret_results.json)</t>
        </is>
      </c>
      <c r="C3" s="3" t="inlineStr">
        <is>
          <t>Score (0-3)</t>
        </is>
      </c>
      <c r="D3" s="3" t="inlineStr">
        <is>
          <t>Judge's explanation</t>
        </is>
      </c>
    </row>
    <row r="4" ht="90" customHeight="1">
      <c r="A4" s="8" t="inlineStr">
        <is>
          <t>Interpretation Summary</t>
        </is>
      </c>
      <c r="B4" s="9" t="inlineStr">
        <is>
          <t>The replication successfully reproduced the paper’s static scarcity-of-labor model underlying Figure 6. The executed code matched the preregistered plan closely: it evaluated the model deterministically over a 1,001-point automation grid, computed total output plus its split into wages and capital returns, and validated key identities. The reported thresholds matched the theory exactly for both parameter cases (Phi=0.5 when K=L=1 and Phi=0.909090909 when K=10, L=1), with only machine-precision numerical error. Overall, the replication supports the original claim and reproduces the qualitative pattern of rising output followed by redistribution from wages to capital as automation increases.</t>
        </is>
      </c>
      <c r="C4" s="4" t="n">
        <v>3</v>
      </c>
      <c r="D4" s="9" t="inlineStr">
        <is>
          <t>The summary captures the essence of the original claim, showing that the replication closely followed the preregistered plan and produced results consistent with theory, including specific thresholds and qualitative patterns.</t>
        </is>
      </c>
    </row>
    <row r="5" ht="90" customHeight="1">
      <c r="A5" s="8" t="inlineStr">
        <is>
          <t>Execute Status</t>
        </is>
      </c>
      <c r="B5" s="9" t="inlineStr">
        <is>
          <t>Success</t>
        </is>
      </c>
      <c r="C5" s="4" t="n">
        <v>3</v>
      </c>
      <c r="D5" s="9" t="inlineStr">
        <is>
          <t>The execution was evaluated as successful, with all key replication objectives met and outputs validated against theoretical expectations.</t>
        </is>
      </c>
    </row>
    <row r="6" ht="90" customHeight="1">
      <c r="A6" s="8" t="inlineStr">
        <is>
          <t>Fidelity: Method Alignment</t>
        </is>
      </c>
      <c r="B6" s="9" t="inlineStr">
        <is>
          <t>Full alignment with the preregistered deterministic analytical reproduction. The implementation used the static scarcity-of-labor model from the paper, evaluated the relevant equilibrium regimes over the automation grid, and produced output, wage bill, and capital returns exactly as planned. Validation checks confirmed factor-income accounting, threshold continuity, and monotonic output.</t>
        </is>
      </c>
      <c r="C6" s="4" t="n">
        <v>3</v>
      </c>
      <c r="D6" s="9" t="inlineStr">
        <is>
          <t>The fidelity assessment aligns closely with the methodological details provided in the reference document, employing the same static scarcity-of-labor model and following the prescribed replication criteria.</t>
        </is>
      </c>
    </row>
    <row r="7" ht="90" customHeight="1">
      <c r="A7" s="8" t="inlineStr">
        <is>
          <t>Fidelity: Deviation 1 (issue)</t>
        </is>
      </c>
      <c r="B7" s="9" t="inlineStr">
        <is>
          <t>The replication used a numerical grid of 1,001 automation values rather than a closed-form symbolic reproduction of the figure.</t>
        </is>
      </c>
      <c r="C7" s="4" t="n">
        <v>3</v>
      </c>
      <c r="D7" s="9" t="inlineStr">
        <is>
          <t>The issue description accurately reflects the use of a numerical grid instead of a symbolic reproduction, consistent with the flexibility allowed in the original preregistration.</t>
        </is>
      </c>
    </row>
    <row r="8" ht="90" customHeight="1">
      <c r="A8" s="8" t="inlineStr">
        <is>
          <t>Fidelity: Deviation 1 (impact)</t>
        </is>
      </c>
      <c r="B8" s="9" t="inlineStr">
        <is>
          <t>Low: this is consistent with the preregistered plan and did not affect the substantive results.</t>
        </is>
      </c>
      <c r="C8" s="4" t="n">
        <v>3</v>
      </c>
      <c r="D8" s="9" t="inlineStr">
        <is>
          <t>The impact is considered low just as evaluated, not affecting the substantive results and consistent with preregistered plans.</t>
        </is>
      </c>
    </row>
    <row r="9" ht="90" customHeight="1">
      <c r="A9" s="8" t="inlineStr">
        <is>
          <t>Fidelity: Deviation 2 (issue)</t>
        </is>
      </c>
      <c r="B9" s="9" t="inlineStr">
        <is>
          <t>The figure was reproduced as an SVG and numerical CSV rather than only a visual plot.</t>
        </is>
      </c>
      <c r="C9" s="4" t="n">
        <v>3</v>
      </c>
      <c r="D9" s="9" t="inlineStr">
        <is>
          <t>This deviation concerns a format change (SVG and CSV) that enhances reproducibility without altering content, aligning with the document's allowance for format changes that maintain fidelity.</t>
        </is>
      </c>
    </row>
    <row r="10" ht="90" customHeight="1">
      <c r="A10" s="8" t="inlineStr">
        <is>
          <t>Fidelity: Deviation 2 (impact)</t>
        </is>
      </c>
      <c r="B10" s="9" t="inlineStr">
        <is>
          <t>None: this improves reproducibility and does not alter the model results.</t>
        </is>
      </c>
      <c r="C10" s="4" t="n">
        <v>3</v>
      </c>
      <c r="D10" s="9" t="inlineStr">
        <is>
          <t>The impact is non-existent on results, as the change improves reproducibility without affecting substantive outcomes.</t>
        </is>
      </c>
    </row>
    <row r="11" ht="90" customHeight="1">
      <c r="A11" s="8" t="inlineStr">
        <is>
          <t>Results: Hypothesis Tested</t>
        </is>
      </c>
      <c r="B11" s="9" t="inlineStr">
        <is>
          <t>In the paper's static scarcity-of-labor model, increasing the automated-task fraction Phi raises output until the labor-scarcity threshold and changes its division between the wage bill and capital returns; the threshold is Phi-hat = (K/L)/(1 + K/L).</t>
        </is>
      </c>
      <c r="C11" s="4" t="n">
        <v>3</v>
      </c>
      <c r="D11" s="9" t="inlineStr">
        <is>
          <t>The hypothesis is accurately conveyed with the same core relationships and variables as described in the reference document.</t>
        </is>
      </c>
    </row>
    <row r="12" ht="90" customHeight="1">
      <c r="A12" s="8" t="inlineStr">
        <is>
          <t>Results: Original Results</t>
        </is>
      </c>
      <c r="B12" s="9" t="inlineStr">
        <is>
          <t>Figure 6 in the original paper shows that for K=L=1, output rises monotonically until Phi=0.5 and then plateaus, while wages stop rising and capital returns absorb further gains. For K=10, L=1, the threshold is Phi=10/11≈0.909090909, with wages rising strongly before falling sharply and capital returns increasing rapidly. The original claim is theoretical/graphical rather than estimated with a coefficient and p-value.</t>
        </is>
      </c>
      <c r="C12" s="4" t="n">
        <v>3</v>
      </c>
      <c r="D12" s="9" t="inlineStr">
        <is>
          <t>The original results are accurately summarized, including thresholds and notable trends in output, wages, and capital returns as presented in the original document's Figure 6 description.</t>
        </is>
      </c>
    </row>
    <row r="13" ht="90" customHeight="1">
      <c r="A13" s="8" t="inlineStr">
        <is>
          <t>Results: Replication Results</t>
        </is>
      </c>
      <c r="B13" s="9" t="inlineStr">
        <is>
          <t>The replication recovered the same thresholds: Phi=0.5 for equal endowments and Phi=0.909090909 for abundant capital. Validation reported near-zero accounting error (4.441e-16 and 7.105e-15), threshold continuity errors near machine precision, initial output of 1.0 in both cases, and full-automation output of 2.0 and 11.0 respectively. Output monotonicity passed in both cases.</t>
        </is>
      </c>
      <c r="C13" s="4" t="n">
        <v>3</v>
      </c>
      <c r="D13" s="9" t="inlineStr">
        <is>
          <t>The replication results accurately reflect the validation of key thresholds and patterns consistent with original paper descriptions.</t>
        </is>
      </c>
    </row>
    <row r="14" ht="90" customHeight="1">
      <c r="A14" s="8" t="inlineStr">
        <is>
          <t>Results: Overall Answer</t>
        </is>
      </c>
      <c r="B14" s="9" t="inlineStr">
        <is>
          <t>Yes for the focal claim; the replication matches the preregistered comparison criteria and reproduces the theoretical pattern in Figure 6.</t>
        </is>
      </c>
      <c r="C14" s="4" t="n">
        <v>3</v>
      </c>
      <c r="D14" s="9" t="inlineStr">
        <is>
          <t>The replication results fully satisfy the preregistered comparison criteria, matching key theoretical patterns and validating the expected behavior reported in Figure 6.</t>
        </is>
      </c>
    </row>
    <row r="15" ht="90" customHeight="1">
      <c r="A15" s="8" t="inlineStr">
        <is>
          <t>Replication Report</t>
        </is>
      </c>
      <c r="B15" s="9" t="inlineStr">
        <is>
          <t>Replication successful: the static scarcity-of-labor model was reproduced faithfully, with thresholds and output paths matching the original Figure 6 and validation checks passing.</t>
        </is>
      </c>
      <c r="C15" s="4" t="n">
        <v>3</v>
      </c>
      <c r="D15" s="9" t="inlineStr">
        <is>
          <t>The replication report succinctly summarizes the successful reproduction of the model results, reflecting both threshold recovery and validation checks as supported by the reference.</t>
        </is>
      </c>
    </row>
    <row r="16" ht="90" customHeight="1">
      <c r="A16" s="8" t="inlineStr">
        <is>
          <t>Failure Handling 1 (type)</t>
        </is>
      </c>
      <c r="B16" s="9" t="inlineStr">
        <is>
          <t>Results/Output Failures</t>
        </is>
      </c>
      <c r="C16" s="4" t="n">
        <v>3</v>
      </c>
      <c r="D16" s="9" t="inlineStr">
        <is>
          <t>Correctly identifies results/output-related considerations, aligning with apparent differences in benchmarking.</t>
        </is>
      </c>
    </row>
    <row r="17" ht="90" customHeight="1">
      <c r="A17" s="8" t="inlineStr">
        <is>
          <t>Failure Handling 1 (suggestions)</t>
        </is>
      </c>
      <c r="B17" s="9" t="inlineStr">
        <is>
          <t>No substantive failure occurred. If future comparisons require tighter benchmarking, provide a reference numerical table or exact plotting conventions from the original figure.</t>
        </is>
      </c>
      <c r="C17" s="4" t="n">
        <v>2</v>
      </c>
      <c r="D17" s="9" t="inlineStr">
        <is>
          <t>The suggestion is clear and actionable, stressing tighter benchmarking which improves future work, slightly less specific than ideal but valuable for comprehensiveness.</t>
        </is>
      </c>
    </row>
    <row r="18" ht="90" customHeight="1">
      <c r="A18" s="8" t="inlineStr">
        <is>
          <t>Failure Handling 2 (type)</t>
        </is>
      </c>
      <c r="B18" s="9" t="inlineStr">
        <is>
          <t>Method/Alignment Failures</t>
        </is>
      </c>
      <c r="C18" s="4" t="n">
        <v>3</v>
      </c>
      <c r="D18" s="9" t="inlineStr">
        <is>
          <t>Accurately noted as a non-issue but future work could necessitate extensions in method/alignments, indicating awareness of alignment needs.</t>
        </is>
      </c>
    </row>
    <row r="19" ht="90" customHeight="1">
      <c r="A19" s="8" t="inlineStr">
        <is>
          <t>Failure Handling 2 (suggestions)</t>
        </is>
      </c>
      <c r="B19" s="9" t="inlineStr">
        <is>
          <t>No major deviation detected. If a later replication needs stronger comparability, specify whether the figure should be matched at exact grid points or via continuous interpolation.</t>
        </is>
      </c>
      <c r="C19" s="4" t="n">
        <v>2</v>
      </c>
      <c r="D19" s="9" t="inlineStr">
        <is>
          <t>The suggestion addresses potential future needs for methodology comparability improvements, thus being thoughtfully placed.</t>
        </is>
      </c>
    </row>
    <row r="20" ht="90" customHeight="1">
      <c r="A20" s="8" t="inlineStr">
        <is>
          <t>Notes</t>
        </is>
      </c>
      <c r="B20" s="9" t="inlineStr">
        <is>
          <t>This was a deterministic theoretical replication rather than an empirical re-estimation, so statistical significance metrics are not applicable. The main evidence of success is exact recovery of the model-implied thresholds and machine-precision agreement on accounting identities. Output files were generated at /Users/juanlopez/sysrisk/agent_workspace/codex_scarcity_task_b/rb_input/results/figure6_results.csv, /Users/juanlopez/sysrisk/agent_workspace/codex_scarcity_task_b/rb_input/results/figure6_parameters.json, and /Users/juanlopez/sysrisk/agent_workspace/codex_scarcity_task_b/rb_input/results/figure6_reproduction.svg.</t>
        </is>
      </c>
      <c r="C20" s="4" t="n">
        <v>3</v>
      </c>
      <c r="D20" s="9" t="inlineStr">
        <is>
          <t>The notes are comprehensive, explaining the nature of the replication and providing paths for future validation, upholding transparency and reproducibility.</t>
        </is>
      </c>
    </row>
    <row r="21">
      <c r="A21" s="8" t="inlineStr">
        <is>
          <t>Total</t>
        </is>
      </c>
      <c r="B21" s="5" t="n"/>
      <c r="C21" s="8">
        <f>SUM(C4:C20)</f>
        <v/>
      </c>
      <c r="D21" s="5" t="n"/>
    </row>
    <row r="22">
      <c r="A22" s="8" t="inlineStr">
        <is>
          <t>Max possible</t>
        </is>
      </c>
      <c r="B22" s="5" t="n"/>
      <c r="C22" s="8">
        <f>COUNT(C4:C20)*3</f>
        <v/>
      </c>
      <c r="D22" s="5" t="n"/>
    </row>
    <row r="23">
      <c r="A23" s="8" t="inlineStr">
        <is>
          <t>Percentage</t>
        </is>
      </c>
      <c r="B23" s="5" t="n"/>
      <c r="C23" s="10">
        <f>C21/C22</f>
        <v/>
      </c>
      <c r="D23" s="5" t="n"/>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0" customWidth="1" min="1" max="1"/>
    <col width="60" customWidth="1" min="2" max="2"/>
    <col width="10" customWidth="1" min="3" max="3"/>
    <col width="60" customWidth="1" min="4" max="4"/>
  </cols>
  <sheetData>
    <row r="1">
      <c r="A1" s="1" t="inlineStr">
        <is>
          <t>evaluate-interpret run: Codex 3 (evaluator_model=gpt-4o)</t>
        </is>
      </c>
    </row>
    <row r="3">
      <c r="A3" s="3" t="inlineStr">
        <is>
          <t>Field</t>
        </is>
      </c>
      <c r="B3" s="3" t="inlineStr">
        <is>
          <t>What the agent wrote (interpret_results.json)</t>
        </is>
      </c>
      <c r="C3" s="3" t="inlineStr">
        <is>
          <t>Score (0-3)</t>
        </is>
      </c>
      <c r="D3" s="3" t="inlineStr">
        <is>
          <t>Judge's explanation</t>
        </is>
      </c>
    </row>
    <row r="4" ht="90" customHeight="1">
      <c r="A4" s="8" t="inlineStr">
        <is>
          <t>Interpretation Summary</t>
        </is>
      </c>
      <c r="B4" s="9" t="inlineStr">
        <is>
          <t>The replication successfully reproduced the paper’s static scarcity-of-labor model underlying Figure 6. The executed code matched the preregistered plan closely: it evaluated the model deterministically over a 1,001-point automation grid, computed total output plus its split into wages and capital returns, and validated key identities. The reported thresholds matched the theory exactly for both parameter cases (Phi=0.5 when K=L=1 and Phi=0.909090909 when K=10, L=1), with only machine-precision numerical error. Overall, the replication supports the original claim and reproduces the qualitative pattern of rising output followed by redistribution from wages to capital as automation increases.</t>
        </is>
      </c>
      <c r="C4" s="4" t="n">
        <v>3</v>
      </c>
      <c r="D4" s="9" t="inlineStr">
        <is>
          <t>The summary captures all essential elements, including key comparisons, execution fidelity, and outcomes, reflecting the narrative from the reference document.</t>
        </is>
      </c>
    </row>
    <row r="5" ht="90" customHeight="1">
      <c r="A5" s="8" t="inlineStr">
        <is>
          <t>Execute Status</t>
        </is>
      </c>
      <c r="B5" s="9" t="inlineStr">
        <is>
          <t>Success</t>
        </is>
      </c>
      <c r="C5" s="4" t="n">
        <v>3</v>
      </c>
      <c r="D5" s="9" t="inlineStr">
        <is>
          <t>The execution status is correctly reported as 'Success,' aligning with the results and evidence provided in the reference document.</t>
        </is>
      </c>
    </row>
    <row r="6" ht="90" customHeight="1">
      <c r="A6" s="8" t="inlineStr">
        <is>
          <t>Fidelity: Method Alignment</t>
        </is>
      </c>
      <c r="B6" s="9" t="inlineStr">
        <is>
          <t>Full alignment with the preregistered deterministic analytical reproduction. The implementation used the static scarcity-of-labor model from the paper, evaluated the relevant equilibrium regimes over the automation grid, and produced output, wage bill, and capital returns exactly as planned. Validation checks confirmed factor-income accounting, threshold continuity, and monotonic output.</t>
        </is>
      </c>
      <c r="C6" s="4" t="n">
        <v>3</v>
      </c>
      <c r="D6" s="9" t="inlineStr">
        <is>
          <t>The method alignment description is an exact match to the reference, detailing the use of the static scarcity-of-labor model and its evaluation over an automation grid as preregistered, with no deviations affecting results.</t>
        </is>
      </c>
    </row>
    <row r="7" ht="90" customHeight="1">
      <c r="A7" s="8" t="inlineStr">
        <is>
          <t>Fidelity: Deviation 1 (issue)</t>
        </is>
      </c>
      <c r="B7" s="9" t="inlineStr">
        <is>
          <t>The replication used a numerical grid of 1,001 automation values rather than a closed-form symbolic reproduction of the figure.</t>
        </is>
      </c>
      <c r="C7" s="4" t="n">
        <v>2</v>
      </c>
      <c r="D7" s="9" t="inlineStr">
        <is>
          <t>Similar phrasing but omits specificity about being 'symbolic reproduction'; however, it conveys the core aspect of using a numerical grid, which is consistent with the reference.</t>
        </is>
      </c>
    </row>
    <row r="8" ht="90" customHeight="1">
      <c r="A8" s="8" t="inlineStr">
        <is>
          <t>Fidelity: Deviation 1 (impact)</t>
        </is>
      </c>
      <c r="B8" s="9" t="inlineStr">
        <is>
          <t>Low: this is consistent with the preregistered plan and did not affect the substantive results.</t>
        </is>
      </c>
      <c r="C8" s="4" t="n">
        <v>3</v>
      </c>
      <c r="D8" s="9" t="inlineStr">
        <is>
          <t>Accurately assesses the impact as low, aligning with the reference document that mentions it being consistent with the preregistered plan.</t>
        </is>
      </c>
    </row>
    <row r="9" ht="90" customHeight="1">
      <c r="A9" s="8" t="inlineStr">
        <is>
          <t>Fidelity: Deviation 2 (issue)</t>
        </is>
      </c>
      <c r="B9" s="9" t="inlineStr">
        <is>
          <t>The figure was reproduced as an SVG and numerical CSV rather than only a visual plot.</t>
        </is>
      </c>
      <c r="C9" s="4" t="n">
        <v>3</v>
      </c>
      <c r="D9" s="9" t="inlineStr">
        <is>
          <t>Provides the correct and detailed deviation description, accurately noting the reproduction method as SVG and CSV, improving reproducibility.</t>
        </is>
      </c>
    </row>
    <row r="10" ht="90" customHeight="1">
      <c r="A10" s="8" t="inlineStr">
        <is>
          <t>Fidelity: Deviation 2 (impact)</t>
        </is>
      </c>
      <c r="B10" s="9" t="inlineStr">
        <is>
          <t>None: this improves reproducibility and does not alter the model results.</t>
        </is>
      </c>
      <c r="C10" s="4" t="n">
        <v>3</v>
      </c>
      <c r="D10" s="9" t="inlineStr">
        <is>
          <t>Correctly assesses the impact as none, corresponding to the provided reference documentation.</t>
        </is>
      </c>
    </row>
    <row r="11" ht="90" customHeight="1">
      <c r="A11" s="8" t="inlineStr">
        <is>
          <t>Results: Hypothesis Tested</t>
        </is>
      </c>
      <c r="B11" s="9" t="inlineStr">
        <is>
          <t>In the paper's static scarcity-of-labor model, increasing the automated-task fraction Phi raises output until the labor-scarcity threshold and changes its division between the wage bill and capital returns; the threshold is Phi-hat = (K/L)/(1 + K/L).</t>
        </is>
      </c>
      <c r="C11" s="4" t="n">
        <v>3</v>
      </c>
      <c r="D11" s="9" t="inlineStr">
        <is>
          <t>The hypothesis is articulated with specific details, including key parameters and expected outcomes, precisely mirroring the reference.</t>
        </is>
      </c>
    </row>
    <row r="12" ht="90" customHeight="1">
      <c r="A12" s="8" t="inlineStr">
        <is>
          <t>Results: Original Results</t>
        </is>
      </c>
      <c r="B12" s="9" t="inlineStr">
        <is>
          <t>Figure 6 in the original paper shows that for K=L=1, output rises monotonically until Phi=0.5 and then plateaus, while wages stop rising and capital returns absorb further gains. For K=10, L=1, the threshold is Phi=10/11≈0.909090909, with wages rising strongly before falling sharply and capital returns increasing rapidly. The original claim is theoretical/graphical rather than estimated with a coefficient and p-value.</t>
        </is>
      </c>
      <c r="C12" s="4" t="n">
        <v>2</v>
      </c>
      <c r="D12" s="9" t="inlineStr">
        <is>
          <t>Mostly similar, capturing the main outputs and wages patterns but missing specific decline percentages as noted (85%).</t>
        </is>
      </c>
    </row>
    <row r="13" ht="90" customHeight="1">
      <c r="A13" s="8" t="inlineStr">
        <is>
          <t>Results: Replication Results</t>
        </is>
      </c>
      <c r="B13" s="9" t="inlineStr">
        <is>
          <t>The replication recovered the same thresholds: Phi=0.5 for equal endowments and Phi=0.909090909 for abundant capital. Validation reported near-zero accounting error (4.441e-16 and 7.105e-15), threshold continuity errors near machine precision, initial output of 1.0 in both cases, and full-automation output of 2.0 and 11.0 respectively. Output monotonicity passed in both cases.</t>
        </is>
      </c>
      <c r="C13" s="4" t="n">
        <v>3</v>
      </c>
      <c r="D13" s="9" t="inlineStr">
        <is>
          <t>Exact match in reporting threshold values, output levels, and validation checks, consistent with reference findings.</t>
        </is>
      </c>
    </row>
    <row r="14" ht="90" customHeight="1">
      <c r="A14" s="8" t="inlineStr">
        <is>
          <t>Results: Overall Answer</t>
        </is>
      </c>
      <c r="B14" s="9" t="inlineStr">
        <is>
          <t>Yes for the focal claim; the replication matches the preregistered comparison criteria and reproduces the theoretical pattern in Figure 6.</t>
        </is>
      </c>
      <c r="C14" s="4" t="n">
        <v>3</v>
      </c>
      <c r="D14" s="9" t="inlineStr">
        <is>
          <t>The conclusion, 'Yes for the focal claim,' matches the prerequisites and criteria established in the reference document accurately.</t>
        </is>
      </c>
    </row>
    <row r="15" ht="90" customHeight="1">
      <c r="A15" s="8" t="inlineStr">
        <is>
          <t>Replication Report</t>
        </is>
      </c>
      <c r="B15" s="9" t="inlineStr">
        <is>
          <t>Replication successful: the static scarcity-of-labor model was reproduced faithfully, with thresholds and output paths matching the original Figure 6 and validation checks passing.</t>
        </is>
      </c>
      <c r="C15" s="4" t="n">
        <v>3</v>
      </c>
      <c r="D15" s="9" t="inlineStr">
        <is>
          <t>Concise and effective summary of results aligning with described replication effort outcomes, similar in form and content to the reference.</t>
        </is>
      </c>
    </row>
    <row r="16" ht="90" customHeight="1">
      <c r="A16" s="8" t="inlineStr">
        <is>
          <t>Failure Handling 1 (type)</t>
        </is>
      </c>
      <c r="B16" s="9" t="inlineStr">
        <is>
          <t>Results/Output Failures</t>
        </is>
      </c>
      <c r="C16" s="4" t="n">
        <v>2</v>
      </c>
      <c r="D16" s="9" t="inlineStr">
        <is>
          <t>Correct categorization of failure type as 'Results/Output Failures'; details match reference but suggest additional resources like a numerical table which adds extra detail not directly in reference.</t>
        </is>
      </c>
    </row>
    <row r="17" ht="90" customHeight="1">
      <c r="A17" s="8" t="inlineStr">
        <is>
          <t>Failure Handling 1 (suggestions)</t>
        </is>
      </c>
      <c r="B17" s="9" t="inlineStr">
        <is>
          <t>No substantive failure occurred. If future comparisons require tighter benchmarking, provide a reference numerical table or exact plotting conventions from the original figure.</t>
        </is>
      </c>
      <c r="C17" s="4" t="n">
        <v>3</v>
      </c>
      <c r="D17" s="9" t="inlineStr">
        <is>
          <t>Provides actionable recommendations fitting the context and aligned with improvement suggestions noted in the reference.</t>
        </is>
      </c>
    </row>
    <row r="18" ht="90" customHeight="1">
      <c r="A18" s="8" t="inlineStr">
        <is>
          <t>Failure Handling 2 (type)</t>
        </is>
      </c>
      <c r="B18" s="9" t="inlineStr">
        <is>
          <t>Method/Alignment Failures</t>
        </is>
      </c>
      <c r="C18" s="4" t="n">
        <v>3</v>
      </c>
      <c r="D18" s="9" t="inlineStr">
        <is>
          <t>Accurately categorizes the failure type as 'Method/Alignment Failures,' reflecting the reference document's components.</t>
        </is>
      </c>
    </row>
    <row r="19" ht="90" customHeight="1">
      <c r="A19" s="8" t="inlineStr">
        <is>
          <t>Failure Handling 2 (suggestions)</t>
        </is>
      </c>
      <c r="B19" s="9" t="inlineStr">
        <is>
          <t>No major deviation detected. If a later replication needs stronger comparability, specify whether the figure should be matched at exact grid points or via continuous interpolation.</t>
        </is>
      </c>
      <c r="C19" s="4" t="n">
        <v>3</v>
      </c>
      <c r="D19" s="9" t="inlineStr">
        <is>
          <t>Offers constructive and aligned guidance, consistent with the approach in troubleshooting method/alignment-related issues as per the reference.</t>
        </is>
      </c>
    </row>
    <row r="20" ht="90" customHeight="1">
      <c r="A20" s="8" t="inlineStr">
        <is>
          <t>Notes</t>
        </is>
      </c>
      <c r="B20" s="9" t="inlineStr">
        <is>
          <t>This was a deterministic theoretical replication rather than an empirical re-estimation, so statistical significance metrics are not applicable. The main evidence of success is exact recovery of the model-implied thresholds and machine-precision agreement on accounting identities. Output files were generated at /Users/juanlopez/sysrisk/agent_workspace/codex_scarcity_task_b/rb_input/results/figure6_results.csv, /Users/juanlopez/sysrisk/agent_workspace/codex_scarcity_task_b/rb_input/results/figure6_parameters.json, and /Users/juanlopez/sysrisk/agent_workspace/codex_scarcity_task_b/rb_input/results/figure6_reproduction.svg.</t>
        </is>
      </c>
      <c r="C20" s="4" t="n">
        <v>3</v>
      </c>
      <c r="D20" s="9" t="inlineStr">
        <is>
          <t>Detailed notes on deterministic replication and file locations reflect clarity and provide useful context for understanding the findings in direct agreement with the reference description.</t>
        </is>
      </c>
    </row>
    <row r="21">
      <c r="A21" s="8" t="inlineStr">
        <is>
          <t>Total</t>
        </is>
      </c>
      <c r="B21" s="5" t="n"/>
      <c r="C21" s="8">
        <f>SUM(C4:C20)</f>
        <v/>
      </c>
      <c r="D21" s="5" t="n"/>
    </row>
    <row r="22">
      <c r="A22" s="8" t="inlineStr">
        <is>
          <t>Max possible</t>
        </is>
      </c>
      <c r="B22" s="5" t="n"/>
      <c r="C22" s="8">
        <f>COUNT(C4:C20)*3</f>
        <v/>
      </c>
      <c r="D22" s="5" t="n"/>
    </row>
    <row r="23">
      <c r="A23" s="8" t="inlineStr">
        <is>
          <t>Percentage</t>
        </is>
      </c>
      <c r="B23" s="5" t="n"/>
      <c r="C23" s="10">
        <f>C21/C22</f>
        <v/>
      </c>
      <c r="D23" s="5" t="n"/>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2026-08-10T05:23:16Z</dcterms:created>
  <dcterms:modified xmlns:dcterms="http://purl.org/dc/terms/" xmlns:xsi="http://www.w3.org/2001/XMLSchema-instance" xsi:type="dcterms:W3CDTF">2026-08-10T05:23:17Z</dcterms:modified>
</cp:coreProperties>
</file>