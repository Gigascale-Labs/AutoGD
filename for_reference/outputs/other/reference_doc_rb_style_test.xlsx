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 new 1" sheetId="2" state="visible" r:id="rId2"/>
    <sheet xmlns:r="http://schemas.openxmlformats.org/officeDocument/2006/relationships" name="RA new 2" sheetId="3" state="visible" r:id="rId3"/>
    <sheet xmlns:r="http://schemas.openxmlformats.org/officeDocument/2006/relationships" name="RA new 3" sheetId="4" state="visible" r:id="rId4"/>
    <sheet xmlns:r="http://schemas.openxmlformats.org/officeDocument/2006/relationships" name="Codex new 1" sheetId="5" state="visible" r:id="rId5"/>
    <sheet xmlns:r="http://schemas.openxmlformats.org/officeDocument/2006/relationships" name="Codex new 2" sheetId="6" state="visible" r:id="rId6"/>
    <sheet xmlns:r="http://schemas.openxmlformats.org/officeDocument/2006/relationships" name="Codex new 3" sheetId="7" state="visible" r:id="rId7"/>
    <sheet xmlns:r="http://schemas.openxmlformats.org/officeDocument/2006/relationships" name="Field breakdown"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6">
    <font>
      <name val="Calibri"/>
      <family val="2"/>
      <color theme="1"/>
      <sz val="11"/>
      <scheme val="minor"/>
    </font>
    <font>
      <name val="Arial"/>
      <b val="1"/>
      <sz val="14"/>
    </font>
    <font>
      <name val="Arial"/>
      <b val="1"/>
      <color rgb="00FFFFFF"/>
    </font>
    <font>
      <name val="Arial"/>
      <b val="1"/>
    </font>
    <font>
      <name val="Arial"/>
      <sz val="10"/>
    </font>
    <font>
      <name val="Arial"/>
      <i val="1"/>
      <color rgb="00666666"/>
      <sz val="9"/>
    </font>
  </fonts>
  <fills count="7">
    <fill>
      <patternFill/>
    </fill>
    <fill>
      <patternFill patternType="gray125"/>
    </fill>
    <fill>
      <patternFill patternType="solid">
        <fgColor rgb="002A6099"/>
      </patternFill>
    </fill>
    <fill>
      <patternFill patternType="solid">
        <fgColor rgb="00FCE4E4"/>
      </patternFill>
    </fill>
    <fill>
      <patternFill patternType="solid">
        <fgColor rgb="00FFF2CC"/>
      </patternFill>
    </fill>
    <fill>
      <patternFill patternType="solid">
        <fgColor rgb="00E4F5E4"/>
      </patternFill>
    </fill>
    <fill>
      <patternFill patternType="solid">
        <fgColor rgb="00D9E2F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0" borderId="0" pivotButton="0" quotePrefix="0" xfId="0"/>
    <xf numFmtId="0" fontId="5" fillId="0" borderId="0" pivotButton="0" quotePrefix="0" xfId="0"/>
    <xf numFmtId="0" fontId="2" fillId="2" borderId="1" applyAlignment="1" pivotButton="0" quotePrefix="0" xfId="0">
      <alignment horizontal="center" vertical="center" wrapText="1"/>
    </xf>
    <xf numFmtId="0" fontId="3" fillId="3" borderId="1" pivotButton="0" quotePrefix="0" xfId="0"/>
    <xf numFmtId="164" fontId="0" fillId="0" borderId="1" pivotButton="0" quotePrefix="0" xfId="0"/>
    <xf numFmtId="164" fontId="3" fillId="0" borderId="1" pivotButton="0" quotePrefix="0" xfId="0"/>
    <xf numFmtId="0" fontId="3" fillId="5" borderId="1" pivotButton="0" quotePrefix="0" xfId="0"/>
    <xf numFmtId="0" fontId="3" fillId="0" borderId="0" pivotButton="0" quotePrefix="0" xfId="0"/>
    <xf numFmtId="0" fontId="4" fillId="0" borderId="1" pivotButton="0" quotePrefix="0" xfId="0"/>
    <xf numFmtId="165" fontId="0" fillId="0" borderId="1" pivotButton="0" quotePrefix="0" xfId="0"/>
    <xf numFmtId="0" fontId="3" fillId="0" borderId="1" pivotButton="0" quotePrefix="0" xfId="0"/>
    <xf numFmtId="0" fontId="3" fillId="0" borderId="0"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xf numFmtId="0" fontId="4" fillId="0" borderId="1" applyAlignment="1" pivotButton="0" quotePrefix="0" xfId="0">
      <alignment vertical="top" wrapText="1"/>
    </xf>
    <xf numFmtId="0" fontId="4" fillId="4" borderId="1" pivotButton="0" quotePrefix="0" xfId="0"/>
    <xf numFmtId="0" fontId="4" fillId="4" borderId="1" applyAlignment="1" pivotButton="0" quotePrefix="0" xfId="0">
      <alignment vertical="top" wrapText="1"/>
    </xf>
    <xf numFmtId="164" fontId="3" fillId="0" borderId="0" pivotButton="0" quotePrefix="0" xfId="0"/>
    <xf numFmtId="0" fontId="4" fillId="5" borderId="1" applyAlignment="1" pivotButton="0" quotePrefix="0" xfId="0">
      <alignment vertical="top" wrapText="1"/>
    </xf>
    <xf numFmtId="0" fontId="3" fillId="6" borderId="1" applyAlignment="1" pivotButton="0" quotePrefix="0" xfId="0">
      <alignment horizontal="center" vertical="center"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0" customWidth="1" min="1" max="1"/>
    <col width="13" customWidth="1" min="2" max="2"/>
    <col width="15" customWidth="1" min="3" max="3"/>
    <col width="11" customWidth="1" min="4" max="4"/>
    <col width="17" customWidth="1" min="5" max="5"/>
    <col width="12" customWidth="1" min="6" max="6"/>
  </cols>
  <sheetData>
    <row r="1">
      <c r="A1" s="1" t="inlineStr">
        <is>
          <t>Does restyling the reference document in RB's own format let the judge tell RA from Codex?</t>
        </is>
      </c>
    </row>
    <row r="2" ht="86" customHeight="1">
      <c r="A2" s="2" t="inlineStr">
        <is>
          <t>RA's implementation is WRONG (inverted capital-return formula, max abs diff ~3981 vs the reference model); Codex's is CORRECT to 4.4e-15. Each agent's interpret_results.json is byte-identical across its two rows below -- only the reference document changes. Old doc: results in two 7-column tables plus sentences stating the values are 'not a checklist an agent's report is expected to reproduce'. New doc (gt/human_report_rb_style.docx): results restated as inline from-&gt;to transitions per region for output, wage bill and capital income, in the paragraph style of RB's own human reports (studies 24 and 34); tables demoted to an appendix; disclaimers removed; criteria rewritten to name what must be reproduced.</t>
        </is>
      </c>
    </row>
    <row r="4">
      <c r="A4" s="3" t="inlineStr">
        <is>
          <t>Condition</t>
        </is>
      </c>
      <c r="B4" s="3" t="inlineStr">
        <is>
          <t>r1</t>
        </is>
      </c>
      <c r="C4" s="3" t="inlineStr">
        <is>
          <t>r2</t>
        </is>
      </c>
      <c r="D4" s="3" t="inlineStr">
        <is>
          <t>r3</t>
        </is>
      </c>
      <c r="E4" s="3" t="inlineStr">
        <is>
          <t>Median</t>
        </is>
      </c>
      <c r="F4" s="3" t="inlineStr">
        <is>
          <t>Mean</t>
        </is>
      </c>
    </row>
    <row r="5">
      <c r="A5" s="4" t="inlineStr">
        <is>
          <t>RA, old doc</t>
        </is>
      </c>
      <c r="B5" s="5" t="n">
        <v>0.9607843137254902</v>
      </c>
      <c r="C5" s="5" t="n">
        <v>0.8717948717948718</v>
      </c>
      <c r="D5" s="5" t="n">
        <v>0.9607843137254902</v>
      </c>
      <c r="E5" s="6" t="n">
        <v>0.9607843137254902</v>
      </c>
      <c r="F5" s="5" t="n">
        <v>0.9311211664152841</v>
      </c>
    </row>
    <row r="6">
      <c r="A6" s="4" t="inlineStr">
        <is>
          <t>RA, NEW doc</t>
        </is>
      </c>
      <c r="B6" s="5" t="n">
        <v>0.9411764705882353</v>
      </c>
      <c r="C6" s="5" t="n">
        <v>0.8431372549019608</v>
      </c>
      <c r="D6" s="5" t="n">
        <v>0.9215686274509803</v>
      </c>
      <c r="E6" s="6" t="n">
        <v>0.9215686274509803</v>
      </c>
      <c r="F6" s="5" t="n">
        <v>0.9019607843137255</v>
      </c>
    </row>
    <row r="7">
      <c r="A7" s="7" t="inlineStr">
        <is>
          <t>Codex, old doc</t>
        </is>
      </c>
      <c r="B7" s="5" t="n">
        <v>0.8235294117647058</v>
      </c>
      <c r="C7" s="5" t="n">
        <v>0.8823529411764706</v>
      </c>
      <c r="D7" s="5" t="n">
        <v>0.9803921568627451</v>
      </c>
      <c r="E7" s="6" t="n">
        <v>0.8823529411764706</v>
      </c>
      <c r="F7" s="5" t="n">
        <v>0.8954248366013071</v>
      </c>
    </row>
    <row r="8">
      <c r="A8" s="7" t="inlineStr">
        <is>
          <t>Codex, NEW doc</t>
        </is>
      </c>
      <c r="B8" s="5" t="n">
        <v>0.8823529411764706</v>
      </c>
      <c r="C8" s="5" t="n">
        <v>0.9607843137254902</v>
      </c>
      <c r="D8" s="5" t="n">
        <v>1</v>
      </c>
      <c r="E8" s="6" t="n">
        <v>0.9607843137254902</v>
      </c>
      <c r="F8" s="5" t="n">
        <v>0.9477124183006536</v>
      </c>
    </row>
    <row r="10">
      <c r="A10" s="8" t="inlineStr">
        <is>
          <t>Ranking: does the judge put the CORRECT implementation on top?</t>
        </is>
      </c>
    </row>
    <row r="11">
      <c r="A11" s="3" t="inlineStr">
        <is>
          <t>Reference document</t>
        </is>
      </c>
      <c r="B11" s="3" t="inlineStr">
        <is>
          <t>RA (wrong)</t>
        </is>
      </c>
      <c r="C11" s="3" t="inlineStr">
        <is>
          <t>Codex (correct)</t>
        </is>
      </c>
      <c r="D11" s="3" t="inlineStr">
        <is>
          <t>Gap</t>
        </is>
      </c>
      <c r="E11" s="3" t="inlineStr">
        <is>
          <t>Ranking</t>
        </is>
      </c>
      <c r="F11" s="3" t="inlineStr"/>
    </row>
    <row r="12">
      <c r="A12" s="9" t="inlineStr">
        <is>
          <t>Old doc</t>
        </is>
      </c>
      <c r="B12" s="5" t="n">
        <v>0.9311211664152841</v>
      </c>
      <c r="C12" s="5" t="n">
        <v>0.8954248366013071</v>
      </c>
      <c r="D12" s="10" t="n">
        <v>-0.03569632981397697</v>
      </c>
      <c r="E12" s="11" t="inlineStr">
        <is>
          <t>WRONG on top</t>
        </is>
      </c>
    </row>
    <row r="13">
      <c r="A13" s="9" t="inlineStr">
        <is>
          <t>New RB-style doc</t>
        </is>
      </c>
      <c r="B13" s="5" t="n">
        <v>0.9019607843137255</v>
      </c>
      <c r="C13" s="5" t="n">
        <v>0.9477124183006536</v>
      </c>
      <c r="D13" s="10" t="n">
        <v>0.04575163398692805</v>
      </c>
      <c r="E13" s="11" t="inlineStr">
        <is>
          <t>CORRECT on top</t>
        </is>
      </c>
    </row>
    <row r="15" ht="190" customHeight="1">
      <c r="A15" s="12" t="inlineStr">
        <is>
          <t>Result: restyling the reference document REVERSES the ranking. With the old document the judge put RA's broken implementation above Codex's correct one; with the RB-style document it puts Codex on top. The swing in the RA-minus-Codex gap is about 8 percentage points, driven by RA losing marks rather than Codex gaining them.
replication_results: RA 2,3,2 -&gt; 2,1,2 (loses its 3); Codex 3,3,3 -&gt; 2,3,3 (essentially holds).
overall_answer: RA 3,3,3 -&gt; 2,2,3, the first time this field has moved off a flat 3/3 in any condition tested -- both judge models, tables visible or hidden, genuine, honest and number-tweaked reports. Codex stays at 3,3,3.
Caveat: n=3 per condition, so the reversal is a direction, not a significant effect (Welch p=0.375 for the new-doc comparison). It is the consistency across fields, and the fact that the verdict field moved at all, that carries the signal.
Interpretation: the reference document's format is a real, controllable factor and was materially responsible for the earlier 'no discrimination' result. It is still not sufficient on its own -- RA scores 90.2% mean for an implementation wrong by a factor of ~3981, because the rubric scores semantic match and RA's qualitative account of the curve shape is genuinely accurate.</t>
        </is>
      </c>
    </row>
  </sheetData>
  <mergeCells count="4">
    <mergeCell ref="A15:F15"/>
    <mergeCell ref="A2:F2"/>
    <mergeCell ref="A1:F1"/>
    <mergeCell ref="A10:F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genuine report vs NEW RB-style reference, run 1 (gpt-4o)</t>
        </is>
      </c>
    </row>
    <row r="3">
      <c r="A3" s="3" t="inlineStr">
        <is>
          <t>Field</t>
        </is>
      </c>
      <c r="B3" s="3" t="inlineStr">
        <is>
          <t>What RA wrote</t>
        </is>
      </c>
      <c r="C3" s="3" t="inlineStr">
        <is>
          <t>Score (0-3)</t>
        </is>
      </c>
      <c r="D3" s="3" t="inlineStr">
        <is>
          <t>Judge's explanation</t>
        </is>
      </c>
    </row>
    <row r="4" ht="95" customHeight="1">
      <c r="A4" s="13" t="inlineStr">
        <is>
          <t>Interpretation Summary</t>
        </is>
      </c>
      <c r="B4" s="14"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9" t="n">
        <v>3</v>
      </c>
      <c r="D4" s="15" t="inlineStr">
        <is>
          <t>The replication summary is detailed and effectively encapsulates the key aspects of the process, as well as the outcome. It accurately describes the model-only reproduction of the theoretical claim, aligns well with the execution explanation related to the specific threshold points, and touches upon the nature of the theoretical simulation without empirical data. This aligns with the level of precision and content present in the reference document.</t>
        </is>
      </c>
    </row>
    <row r="5" ht="95" customHeight="1">
      <c r="A5" s="13" t="inlineStr">
        <is>
          <t>Execute Status</t>
        </is>
      </c>
      <c r="B5" s="14" t="inlineStr">
        <is>
          <t>Success</t>
        </is>
      </c>
      <c r="C5" s="9" t="n">
        <v>3</v>
      </c>
      <c r="D5" s="15" t="inlineStr">
        <is>
          <t>The execution status 'Success' reflects a complete and successful execution of the replication study, which is consistent with the interpretations and findings outlined in the replication report and matches the result indicated in the reference document.</t>
        </is>
      </c>
    </row>
    <row r="6" ht="95" customHeight="1">
      <c r="A6" s="13" t="inlineStr">
        <is>
          <t>Fidelity: Method Alignment</t>
        </is>
      </c>
      <c r="B6" s="14"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9" t="n">
        <v>3</v>
      </c>
      <c r="D6" s="15" t="inlineStr">
        <is>
          <t>The detailed description of method alignment in the reported JSON comprehensively covers the key elements laid out in the reference document, detailing the analytical model use and adherence to the core aspects of the plan. The alignment with the methodology described in the reference document is preserved completely.</t>
        </is>
      </c>
    </row>
    <row r="7" ht="95" customHeight="1">
      <c r="A7" s="13" t="inlineStr">
        <is>
          <t>Fidelity: Deviation 1 (issue)</t>
        </is>
      </c>
      <c r="B7" s="14" t="inlineStr">
        <is>
          <t>The original paper’s Figure 6 is a stylized analytical figure, while the replication computed the same model numerically on a discrete grid.</t>
        </is>
      </c>
      <c r="C7" s="9" t="n">
        <v>2</v>
      </c>
      <c r="D7" s="15" t="inlineStr">
        <is>
          <t>The replication describes the format difference between the original stylized figure and the numerical grid-based approach. While this deviation is specific and aligns with format changes, it glosses over that both formats convey the same substantive conclusions, aligning with the reference document.</t>
        </is>
      </c>
    </row>
    <row r="8" ht="95" customHeight="1">
      <c r="A8" s="13" t="inlineStr">
        <is>
          <t>Fidelity: Deviation 1 (impact)</t>
        </is>
      </c>
      <c r="B8" s="14" t="inlineStr">
        <is>
          <t>Low: This changes presentation format, not the underlying model behavior or substantive conclusion.</t>
        </is>
      </c>
      <c r="C8" s="9" t="n">
        <v>3</v>
      </c>
      <c r="D8" s="15" t="inlineStr">
        <is>
          <t>The report correctly assesses the low impact of format change, as aligning with the reference document's explanation that no substantive model behavior or conclusion is altered.</t>
        </is>
      </c>
    </row>
    <row r="9" ht="95" customHeight="1">
      <c r="A9" s="13" t="inlineStr">
        <is>
          <t>Fidelity: Deviation 2 (issue)</t>
        </is>
      </c>
      <c r="B9" s="14" t="inlineStr">
        <is>
          <t>No external dataset was used because the claim is theoretical/model-based.</t>
        </is>
      </c>
      <c r="C9" s="9" t="n">
        <v>3</v>
      </c>
      <c r="D9" s="15" t="inlineStr">
        <is>
          <t>Describes that no external dataset use is due to the theoretical nature of the claim, a point confirmed by reference, indicating an exact understanding of the replication context.</t>
        </is>
      </c>
    </row>
    <row r="10" ht="95" customHeight="1">
      <c r="A10" s="13" t="inlineStr">
        <is>
          <t>Fidelity: Deviation 2 (impact)</t>
        </is>
      </c>
      <c r="B10" s="14" t="inlineStr">
        <is>
          <t>None: This is appropriate for the claim and consistent with the replication plan.</t>
        </is>
      </c>
      <c r="C10" s="9" t="n">
        <v>3</v>
      </c>
      <c r="D10" s="15" t="inlineStr">
        <is>
          <t>This explanation that the deviation has no impact is consistent with the fact that the claim is model-based, matching the reference document's guidance.</t>
        </is>
      </c>
    </row>
    <row r="11" ht="95" customHeight="1">
      <c r="A11" s="13" t="inlineStr">
        <is>
          <t>Results: Hypothesis Tested</t>
        </is>
      </c>
      <c r="B11" s="14"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9" t="n">
        <v>3</v>
      </c>
      <c r="D11" s="15" t="inlineStr">
        <is>
          <t>The hypothesized effects of increasing automation on output, wages, and capital returns described in the reported JSON match the core narrative within the reference document, including distinctions between parameter cases and thresholds.</t>
        </is>
      </c>
    </row>
    <row r="12" ht="95" customHeight="1">
      <c r="A12" s="13" t="inlineStr">
        <is>
          <t>Results: Original Results</t>
        </is>
      </c>
      <c r="B12" s="14"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9" t="n">
        <v>3</v>
      </c>
      <c r="D12" s="15" t="inlineStr">
        <is>
          <t>The original results summary in the reported JSON aligns exactingly with the reference document, clearly articulating the model regime changes and outcomes for various parameter settings.</t>
        </is>
      </c>
    </row>
    <row r="13" ht="95" customHeight="1">
      <c r="A13" s="13" t="inlineStr">
        <is>
          <t>Results: Replication Results</t>
        </is>
      </c>
      <c r="B13" s="14"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16" t="n">
        <v>2</v>
      </c>
      <c r="D13" s="17" t="inlineStr">
        <is>
          <t>While reasonably detailed and consistent with thresholds and qualitative patterns from the reference, some discrepancies in the numerical precision content are present, relating largely to possible rounding or interpretation differences.</t>
        </is>
      </c>
    </row>
    <row r="14" ht="95" customHeight="1">
      <c r="A14" s="13" t="inlineStr">
        <is>
          <t>Results: Overall Answer</t>
        </is>
      </c>
      <c r="B14" s="14" t="inlineStr">
        <is>
          <t>Yes for the focal theoretical claim; the replication satisfies the preregistered comparison criteria qualitatively.</t>
        </is>
      </c>
      <c r="C14" s="16" t="n">
        <v>2</v>
      </c>
      <c r="D14" s="17" t="inlineStr">
        <is>
          <t>The concise resolution in the reported JSON reflects supporting the focal theoretical claim, corresponding with the reference document's outlined success criteria. However, further specificity on quantitative validation could enhance readily apparent alignment.</t>
        </is>
      </c>
    </row>
    <row r="15" ht="95" customHeight="1">
      <c r="A15" s="13" t="inlineStr">
        <is>
          <t>Replication Report</t>
        </is>
      </c>
      <c r="B15" s="14" t="inlineStr">
        <is>
          <t>Replication successful: the static scarcity-of-labor model reproduced the expected threshold behavior, with output plateauing in the equal-endowment case and the wage bill peaking then falling in the abundant-capital case.</t>
        </is>
      </c>
      <c r="C15" s="9" t="n">
        <v>3</v>
      </c>
      <c r="D15" s="15" t="inlineStr">
        <is>
          <t>The concise summary of replication success and modeled behavior conforms comprehensively to both the focal hypotheses and criteria for a qualitative match indicated in the reference.</t>
        </is>
      </c>
    </row>
    <row r="16" ht="95" customHeight="1">
      <c r="A16" s="13" t="inlineStr">
        <is>
          <t>Failure Handling 1 (type)</t>
        </is>
      </c>
      <c r="B16" s="14" t="inlineStr">
        <is>
          <t>Results/Output Failures</t>
        </is>
      </c>
      <c r="C16" s="9" t="n">
        <v>3</v>
      </c>
      <c r="D16" s="15" t="inlineStr">
        <is>
          <t>Correctly related to output-related issues and anticipates transparent reporting as a possible area for enhancing future replications, aligning with quality-centered improvement recommended alongside successful outputs.</t>
        </is>
      </c>
    </row>
    <row r="17" ht="95" customHeight="1">
      <c r="A17" s="13" t="inlineStr">
        <is>
          <t>Failure Handling 1 (suggestions)</t>
        </is>
      </c>
      <c r="B17" s="14" t="inlineStr">
        <is>
          <t>No substantive failure occurred, but future replications could report explicit curve-shape diagnostics (e.g., monotonicity checks and threshold-crossing summaries) to make comparison even more transparent.</t>
        </is>
      </c>
      <c r="C17" s="9" t="n">
        <v>3</v>
      </c>
      <c r="D17" s="15" t="inlineStr">
        <is>
          <t>Response provided is actionable and tied to transparency improvements such as diagnostics for curve shapes and threshold detection robustness, which corresponds with the potential improvement areas noted.</t>
        </is>
      </c>
    </row>
    <row r="18" ht="95" customHeight="1">
      <c r="A18" s="13" t="inlineStr">
        <is>
          <t>Failure Handling 2 (type)</t>
        </is>
      </c>
      <c r="B18" s="14" t="inlineStr">
        <is>
          <t>Method/Alignment Failures</t>
        </is>
      </c>
      <c r="C18" s="9" t="n">
        <v>3</v>
      </c>
      <c r="D18" s="15" t="inlineStr">
        <is>
          <t>Refers relevantly to method/alignment improvements by suggesting fidelity enhancements that were potentially less explicit—in parallel with the reference model's discussions on documentation stringency.</t>
        </is>
      </c>
    </row>
    <row r="19" ht="95" customHeight="1">
      <c r="A19" s="13" t="inlineStr">
        <is>
          <t>Failure Handling 2 (suggestions)</t>
        </is>
      </c>
      <c r="B19" s="14" t="inlineStr">
        <is>
          <t>If stricter fidelity is desired, document the exact algebraic mapping from the paper’s equations to the code and include a direct comparison against the published figure values at selected Φ points.</t>
        </is>
      </c>
      <c r="C19" s="9" t="n">
        <v>3</v>
      </c>
      <c r="D19" s="15" t="inlineStr">
        <is>
          <t>Suggestion to increase equivalency between documented algebra and code implementation reflects a good strategy for aligning more closely with model equations, as considered important in the reference.</t>
        </is>
      </c>
    </row>
    <row r="20" ht="95" customHeight="1">
      <c r="A20" s="13" t="inlineStr">
        <is>
          <t>Notes</t>
        </is>
      </c>
      <c r="B20" s="14"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9" t="n">
        <v>3</v>
      </c>
      <c r="D20" s="15" t="inlineStr">
        <is>
          <t>Notes in the reported JSON skillfully cover the theoretical nature of replication and the role of qualitative output matching, which is reflected in detail in the reference's explanation of how success metrics should be interpreted contextually.</t>
        </is>
      </c>
    </row>
    <row r="21">
      <c r="A21" s="8" t="inlineStr">
        <is>
          <t>Total</t>
        </is>
      </c>
      <c r="C21" s="8">
        <f>SUM(C4:C20)</f>
        <v/>
      </c>
    </row>
    <row r="22">
      <c r="A22" s="8" t="inlineStr">
        <is>
          <t>Max possible</t>
        </is>
      </c>
      <c r="C22" s="8">
        <f>COUNT(C4:C20)*3</f>
        <v/>
      </c>
    </row>
    <row r="23">
      <c r="A23" s="8" t="inlineStr">
        <is>
          <t>Percentage</t>
        </is>
      </c>
      <c r="C23" s="18">
        <f>C21/C22</f>
        <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genuine report vs NEW RB-style reference, run 2 (gpt-4o)</t>
        </is>
      </c>
    </row>
    <row r="3">
      <c r="A3" s="3" t="inlineStr">
        <is>
          <t>Field</t>
        </is>
      </c>
      <c r="B3" s="3" t="inlineStr">
        <is>
          <t>What RA wrote</t>
        </is>
      </c>
      <c r="C3" s="3" t="inlineStr">
        <is>
          <t>Score (0-3)</t>
        </is>
      </c>
      <c r="D3" s="3" t="inlineStr">
        <is>
          <t>Judge's explanation</t>
        </is>
      </c>
    </row>
    <row r="4" ht="95" customHeight="1">
      <c r="A4" s="13" t="inlineStr">
        <is>
          <t>Interpretation Summary</t>
        </is>
      </c>
      <c r="B4" s="14"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9" t="n">
        <v>3</v>
      </c>
      <c r="D4" s="15" t="inlineStr">
        <is>
          <t>The interpretation summary closely matches the detailed description of the study's focus and findings. The replication on the scarcity-of-labor model and evaluation against theoretical thresholds is carefully outlined, reflecting the claim described in the reference document.</t>
        </is>
      </c>
    </row>
    <row r="5" ht="95" customHeight="1">
      <c r="A5" s="13" t="inlineStr">
        <is>
          <t>Execute Status</t>
        </is>
      </c>
      <c r="B5" s="14" t="inlineStr">
        <is>
          <t>Success</t>
        </is>
      </c>
      <c r="C5" s="9" t="n">
        <v>3</v>
      </c>
      <c r="D5" s="15" t="inlineStr">
        <is>
          <t>The execution was described as a success, which aligns with the replication’s matching to the reference's theoretical framework in every key aspect, correctly implementing the two scenarios and outputs.</t>
        </is>
      </c>
    </row>
    <row r="6" ht="95" customHeight="1">
      <c r="A6" s="13" t="inlineStr">
        <is>
          <t>Fidelity: Method Alignment</t>
        </is>
      </c>
      <c r="B6" s="14"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9" t="n">
        <v>3</v>
      </c>
      <c r="D6" s="15" t="inlineStr">
        <is>
          <t>Full alignment was claimed and accurately implemented the model as described in Korinek &amp; Suh's paper, successfully reproducing the theoretical model and respective results.</t>
        </is>
      </c>
    </row>
    <row r="7" ht="95" customHeight="1">
      <c r="A7" s="13" t="inlineStr">
        <is>
          <t>Fidelity: Deviation 1 (issue)</t>
        </is>
      </c>
      <c r="B7" s="14" t="inlineStr">
        <is>
          <t>The original paper’s Figure 6 is a stylized analytical figure, while the replication computed the same model numerically on a discrete grid.</t>
        </is>
      </c>
      <c r="C7" s="9" t="n">
        <v>2</v>
      </c>
      <c r="D7" s="15" t="inlineStr">
        <is>
          <t>The report describes a deviation in presentation between analytical and numerical plots, which does affect direct comparisons but does not alter results.</t>
        </is>
      </c>
    </row>
    <row r="8" ht="95" customHeight="1">
      <c r="A8" s="13" t="inlineStr">
        <is>
          <t>Fidelity: Deviation 1 (impact)</t>
        </is>
      </c>
      <c r="B8" s="14" t="inlineStr">
        <is>
          <t>Low: This changes presentation format, not the underlying model behavior or substantive conclusion.</t>
        </is>
      </c>
      <c r="C8" s="9" t="n">
        <v>2</v>
      </c>
      <c r="D8" s="15" t="inlineStr">
        <is>
          <t>The impact is accurately described as low, maintaining the substantive conclusion despite the presentational change.</t>
        </is>
      </c>
    </row>
    <row r="9" ht="95" customHeight="1">
      <c r="A9" s="13" t="inlineStr">
        <is>
          <t>Fidelity: Deviation 2 (issue)</t>
        </is>
      </c>
      <c r="B9" s="14" t="inlineStr">
        <is>
          <t>No external dataset was used because the claim is theoretical/model-based.</t>
        </is>
      </c>
      <c r="C9" s="9" t="n">
        <v>3</v>
      </c>
      <c r="D9" s="15" t="inlineStr">
        <is>
          <t>The description correctly reports that no external datasets were used, which is consistent with both the plan and the theoretical nature of the claim.</t>
        </is>
      </c>
    </row>
    <row r="10" ht="95" customHeight="1">
      <c r="A10" s="13" t="inlineStr">
        <is>
          <t>Fidelity: Deviation 2 (impact)</t>
        </is>
      </c>
      <c r="B10" s="14" t="inlineStr">
        <is>
          <t>None: This is appropriate for the claim and consistent with the replication plan.</t>
        </is>
      </c>
      <c r="C10" s="9" t="n">
        <v>3</v>
      </c>
      <c r="D10" s="15" t="inlineStr">
        <is>
          <t>The impact is properly identified as none, since the theoretical model does not require external validation data.</t>
        </is>
      </c>
    </row>
    <row r="11" ht="95" customHeight="1">
      <c r="A11" s="13" t="inlineStr">
        <is>
          <t>Results: Hypothesis Tested</t>
        </is>
      </c>
      <c r="B11" s="14"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9" t="n">
        <v>2</v>
      </c>
      <c r="D11" s="15" t="inlineStr">
        <is>
          <t>The hypothesis tested aligns with the reference but has minor phrasing differences with equivalent essential meaning and important thresholds mentioned accurately.</t>
        </is>
      </c>
    </row>
    <row r="12" ht="95" customHeight="1">
      <c r="A12" s="13" t="inlineStr">
        <is>
          <t>Results: Original Results</t>
        </is>
      </c>
      <c r="B12" s="14"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9" t="n">
        <v>2</v>
      </c>
      <c r="D12" s="15" t="inlineStr">
        <is>
          <t>The original results are mostly similar. Key threshold values and descriptions align with the reference, though some specific detail differences exist.</t>
        </is>
      </c>
    </row>
    <row r="13" ht="95" customHeight="1">
      <c r="A13" s="13" t="inlineStr">
        <is>
          <t>Results: Replication Results</t>
        </is>
      </c>
      <c r="B13" s="14"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16" t="n">
        <v>1</v>
      </c>
      <c r="D13" s="17" t="inlineStr">
        <is>
          <t>There are overlaps in values like threshold and qualitative rise-fall patterns, but major differences appear with specific numeric deviations even if core trends were preserved.</t>
        </is>
      </c>
    </row>
    <row r="14" ht="95" customHeight="1">
      <c r="A14" s="13" t="inlineStr">
        <is>
          <t>Results: Overall Answer</t>
        </is>
      </c>
      <c r="B14" s="14" t="inlineStr">
        <is>
          <t>Yes for the focal theoretical claim; the replication satisfies the preregistered comparison criteria qualitatively.</t>
        </is>
      </c>
      <c r="C14" s="16" t="n">
        <v>2</v>
      </c>
      <c r="D14" s="17" t="inlineStr">
        <is>
          <t>The overall answer is mostly similar; confirms qualitative replication with positive theoretical alignment, yet slightly diverges in specific numeric replication details.</t>
        </is>
      </c>
    </row>
    <row r="15" ht="95" customHeight="1">
      <c r="A15" s="13" t="inlineStr">
        <is>
          <t>Replication Report</t>
        </is>
      </c>
      <c r="B15" s="14" t="inlineStr">
        <is>
          <t>Replication successful: the static scarcity-of-labor model reproduced the expected threshold behavior, with output plateauing in the equal-endowment case and the wage bill peaking then falling in the abundant-capital case.</t>
        </is>
      </c>
      <c r="C15" s="9" t="n">
        <v>2</v>
      </c>
      <c r="D15" s="15" t="inlineStr">
        <is>
          <t>The report is mostly similar. It accurately captures the general threshold behavior described by the reference, with reasonable omissions regarding numeric result differences.</t>
        </is>
      </c>
    </row>
    <row r="16" ht="95" customHeight="1">
      <c r="A16" s="13" t="inlineStr">
        <is>
          <t>Failure Handling 1 (type)</t>
        </is>
      </c>
      <c r="B16" s="14" t="inlineStr">
        <is>
          <t>Results/Output Failures</t>
        </is>
      </c>
      <c r="C16" s="9" t="n">
        <v>3</v>
      </c>
      <c r="D16" s="15" t="inlineStr">
        <is>
          <t>Correctly identified as Results/Output Failures with valid suggestions. The enhancement of reporting methods for transparency was correctly identified.</t>
        </is>
      </c>
    </row>
    <row r="17" ht="95" customHeight="1">
      <c r="A17" s="13" t="inlineStr">
        <is>
          <t>Failure Handling 1 (suggestions)</t>
        </is>
      </c>
      <c r="B17" s="14" t="inlineStr">
        <is>
          <t>No substantive failure occurred, but future replications could report explicit curve-shape diagnostics (e.g., monotonicity checks and threshold-crossing summaries) to make comparison even more transparent.</t>
        </is>
      </c>
      <c r="C17" s="9" t="n">
        <v>3</v>
      </c>
      <c r="D17" s="15" t="inlineStr">
        <is>
          <t>Suggestions for added transparency provide constructive improvement without addressing failure issues since the replication was deemed mostly successful.</t>
        </is>
      </c>
    </row>
    <row r="18" ht="95" customHeight="1">
      <c r="A18" s="13" t="inlineStr">
        <is>
          <t>Failure Handling 2 (type)</t>
        </is>
      </c>
      <c r="B18" s="14" t="inlineStr">
        <is>
          <t>Method/Alignment Failures</t>
        </is>
      </c>
      <c r="C18" s="9" t="n">
        <v>3</v>
      </c>
      <c r="D18" s="15" t="inlineStr">
        <is>
          <t>Correct identification of potential method alignment challenges supports potential improvement if higher fidelity was aimed.</t>
        </is>
      </c>
    </row>
    <row r="19" ht="95" customHeight="1">
      <c r="A19" s="13" t="inlineStr">
        <is>
          <t>Failure Handling 2 (suggestions)</t>
        </is>
      </c>
      <c r="B19" s="14" t="inlineStr">
        <is>
          <t>If stricter fidelity is desired, document the exact algebraic mapping from the paper’s equations to the code and include a direct comparison against the published figure values at selected Φ points.</t>
        </is>
      </c>
      <c r="C19" s="9" t="n">
        <v>3</v>
      </c>
      <c r="D19" s="15" t="inlineStr">
        <is>
          <t>Recommendations focus specifically on enhancing fidelity and documentation, which is both insightful and feasible for future detailed validation.</t>
        </is>
      </c>
    </row>
    <row r="20" ht="95" customHeight="1">
      <c r="A20" s="13" t="inlineStr">
        <is>
          <t>Notes</t>
        </is>
      </c>
      <c r="B20" s="14"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9" t="n">
        <v>3</v>
      </c>
      <c r="D20" s="15" t="inlineStr">
        <is>
          <t>Notes correctly acknowledge the theoretical nature distinguishing it from other statistical evaluation needs, indicating a firm grasp of the context-specific challenges inherent in a theoretical or model-based replication.</t>
        </is>
      </c>
    </row>
    <row r="21">
      <c r="A21" s="8" t="inlineStr">
        <is>
          <t>Total</t>
        </is>
      </c>
      <c r="C21" s="8">
        <f>SUM(C4:C20)</f>
        <v/>
      </c>
    </row>
    <row r="22">
      <c r="A22" s="8" t="inlineStr">
        <is>
          <t>Max possible</t>
        </is>
      </c>
      <c r="C22" s="8">
        <f>COUNT(C4:C20)*3</f>
        <v/>
      </c>
    </row>
    <row r="23">
      <c r="A23" s="8" t="inlineStr">
        <is>
          <t>Percentage</t>
        </is>
      </c>
      <c r="C23" s="18">
        <f>C21/C22</f>
        <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genuine report vs NEW RB-style reference, run 3 (gpt-4o)</t>
        </is>
      </c>
    </row>
    <row r="3">
      <c r="A3" s="3" t="inlineStr">
        <is>
          <t>Field</t>
        </is>
      </c>
      <c r="B3" s="3" t="inlineStr">
        <is>
          <t>What RA wrote</t>
        </is>
      </c>
      <c r="C3" s="3" t="inlineStr">
        <is>
          <t>Score (0-3)</t>
        </is>
      </c>
      <c r="D3" s="3" t="inlineStr">
        <is>
          <t>Judge's explanation</t>
        </is>
      </c>
    </row>
    <row r="4" ht="95" customHeight="1">
      <c r="A4" s="13" t="inlineStr">
        <is>
          <t>Interpretation Summary</t>
        </is>
      </c>
      <c r="B4" s="14"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9" t="n">
        <v>3</v>
      </c>
      <c r="D4" s="15" t="inlineStr">
        <is>
          <t>The summary accurately reflects the replication process and outcome, detailing the execution of Python code that matched the preregistered plan and supported the theoretical claim without relying on empirical data. This matches the reference documentation closely.</t>
        </is>
      </c>
    </row>
    <row r="5" ht="95" customHeight="1">
      <c r="A5" s="13" t="inlineStr">
        <is>
          <t>Execute Status</t>
        </is>
      </c>
      <c r="B5" s="14" t="inlineStr">
        <is>
          <t>Success</t>
        </is>
      </c>
      <c r="C5" s="9" t="n">
        <v>3</v>
      </c>
      <c r="D5" s="15" t="inlineStr">
        <is>
          <t>The execution status is marked as 'Success', indicating that the replication was completed as intended without deviations, which is consistent with the reference.</t>
        </is>
      </c>
    </row>
    <row r="6" ht="95" customHeight="1">
      <c r="A6" s="13" t="inlineStr">
        <is>
          <t>Fidelity: Method Alignment</t>
        </is>
      </c>
      <c r="B6" s="14"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9" t="n">
        <v>3</v>
      </c>
      <c r="D6" s="15" t="inlineStr">
        <is>
          <t>The method alignment description matches perfectly with the preregistration plan and outlines the use of the static scarcity-of-labor model and evaluation of specified parameter cases, aligning exactly with reference expectations.</t>
        </is>
      </c>
    </row>
    <row r="7" ht="95" customHeight="1">
      <c r="A7" s="13" t="inlineStr">
        <is>
          <t>Fidelity: Deviation 1 (issue)</t>
        </is>
      </c>
      <c r="B7" s="14" t="inlineStr">
        <is>
          <t>The original paper’s Figure 6 is a stylized analytical figure, while the replication computed the same model numerically on a discrete grid.</t>
        </is>
      </c>
      <c r="C7" s="9" t="n">
        <v>2</v>
      </c>
      <c r="D7" s="15" t="inlineStr">
        <is>
          <t>The deviation regarding the presentation format switch from stylized figure to numerical computation is mentioned in the entry, but the reference emphasizes the importance of threshold reproduction, which is slightly different in focus.</t>
        </is>
      </c>
    </row>
    <row r="8" ht="95" customHeight="1">
      <c r="A8" s="13" t="inlineStr">
        <is>
          <t>Fidelity: Deviation 1 (impact)</t>
        </is>
      </c>
      <c r="B8" s="14" t="inlineStr">
        <is>
          <t>Low: This changes presentation format, not the underlying model behavior or substantive conclusion.</t>
        </is>
      </c>
      <c r="C8" s="9" t="n">
        <v>2</v>
      </c>
      <c r="D8" s="15" t="inlineStr">
        <is>
          <t>Impact is considered low due to format change without affecting substantive conclusions; the deviation is not in core model behavior, which is mostly aligned with the reference.</t>
        </is>
      </c>
    </row>
    <row r="9" ht="95" customHeight="1">
      <c r="A9" s="13" t="inlineStr">
        <is>
          <t>Fidelity: Deviation 2 (issue)</t>
        </is>
      </c>
      <c r="B9" s="14" t="inlineStr">
        <is>
          <t>No external dataset was used because the claim is theoretical/model-based.</t>
        </is>
      </c>
      <c r="C9" s="9" t="n">
        <v>3</v>
      </c>
      <c r="D9" s="15" t="inlineStr">
        <is>
          <t>No use of an external dataset is consistent with the theoretical nature of the claim; this matches the reference's context for a theoretical replication.</t>
        </is>
      </c>
    </row>
    <row r="10" ht="95" customHeight="1">
      <c r="A10" s="13" t="inlineStr">
        <is>
          <t>Fidelity: Deviation 2 (impact)</t>
        </is>
      </c>
      <c r="B10" s="14" t="inlineStr">
        <is>
          <t>None: This is appropriate for the claim and consistent with the replication plan.</t>
        </is>
      </c>
      <c r="C10" s="9" t="n">
        <v>3</v>
      </c>
      <c r="D10" s="15" t="inlineStr">
        <is>
          <t>The impact is correctly stated as 'None', aligning with the reference indicating consistency with a theoretical claim.</t>
        </is>
      </c>
    </row>
    <row r="11" ht="95" customHeight="1">
      <c r="A11" s="13" t="inlineStr">
        <is>
          <t>Results: Hypothesis Tested</t>
        </is>
      </c>
      <c r="B11" s="14"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9" t="n">
        <v>3</v>
      </c>
      <c r="D11" s="15" t="inlineStr">
        <is>
          <t>The hypothesis in the JSON matches the reference description of the static scarcity-of-labor model, including details of the automation fraction impact on output and income.</t>
        </is>
      </c>
    </row>
    <row r="12" ht="95" customHeight="1">
      <c r="A12" s="13" t="inlineStr">
        <is>
          <t>Results: Original Results</t>
        </is>
      </c>
      <c r="B12" s="14"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9" t="n">
        <v>2</v>
      </c>
      <c r="D12" s="15" t="inlineStr">
        <is>
          <t>The original results capture the threshold detail and trends but omit some specific numerical ranges like output values at transitions, although core meanings and threshold are mostly aligned.</t>
        </is>
      </c>
    </row>
    <row r="13" ht="95" customHeight="1">
      <c r="A13" s="13" t="inlineStr">
        <is>
          <t>Results: Replication Results</t>
        </is>
      </c>
      <c r="B13" s="14"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16" t="n">
        <v>2</v>
      </c>
      <c r="D13" s="17" t="inlineStr">
        <is>
          <t>Replication results mention threshold reproduction and output ranges consistent with expectations, but omit more precise output values at key points, though trends and thresholds are largely aligned.</t>
        </is>
      </c>
    </row>
    <row r="14" ht="95" customHeight="1">
      <c r="A14" s="13" t="inlineStr">
        <is>
          <t>Results: Overall Answer</t>
        </is>
      </c>
      <c r="B14" s="14" t="inlineStr">
        <is>
          <t>Yes for the focal theoretical claim; the replication satisfies the preregistered comparison criteria qualitatively.</t>
        </is>
      </c>
      <c r="C14" s="16" t="n">
        <v>3</v>
      </c>
      <c r="D14" s="17" t="inlineStr">
        <is>
          <t>The overall answer confidently states the replication satisfied preregistered criteria qualitatively, fully aligning with the reference's successful outcome expectation.</t>
        </is>
      </c>
    </row>
    <row r="15" ht="95" customHeight="1">
      <c r="A15" s="13" t="inlineStr">
        <is>
          <t>Replication Report</t>
        </is>
      </c>
      <c r="B15" s="14" t="inlineStr">
        <is>
          <t>Replication successful: the static scarcity-of-labor model reproduced the expected threshold behavior, with output plateauing in the equal-endowment case and the wage bill peaking then falling in the abundant-capital case.</t>
        </is>
      </c>
      <c r="C15" s="9" t="n">
        <v>3</v>
      </c>
      <c r="D15" s="15" t="inlineStr">
        <is>
          <t>The summary accurately affirms the expected threshold behavior as reproduced, directly matching expected outcomes per the reference.</t>
        </is>
      </c>
    </row>
    <row r="16" ht="95" customHeight="1">
      <c r="A16" s="13" t="inlineStr">
        <is>
          <t>Failure Handling 1 (type)</t>
        </is>
      </c>
      <c r="B16" s="14" t="inlineStr">
        <is>
          <t>Results/Output Failures</t>
        </is>
      </c>
      <c r="C16" s="9" t="n">
        <v>3</v>
      </c>
      <c r="D16" s="15" t="inlineStr">
        <is>
          <t>Failure type 'Results/Output Failures' for discussing future transparency options is articulately linked to weak non-substantive failures; aligns with reference and report context.</t>
        </is>
      </c>
    </row>
    <row r="17" ht="95" customHeight="1">
      <c r="A17" s="13" t="inlineStr">
        <is>
          <t>Failure Handling 1 (suggestions)</t>
        </is>
      </c>
      <c r="B17" s="14" t="inlineStr">
        <is>
          <t>No substantive failure occurred, but future replications could report explicit curve-shape diagnostics (e.g., monotonicity checks and threshold-crossing summaries) to make comparison even more transparent.</t>
        </is>
      </c>
      <c r="C17" s="9" t="n">
        <v>3</v>
      </c>
      <c r="D17" s="15" t="inlineStr">
        <is>
          <t>Suggestions for future replications to include more diagnostics are detailed and actionable, resonating well with full transparency principles stated in the reference.</t>
        </is>
      </c>
    </row>
    <row r="18" ht="95" customHeight="1">
      <c r="A18" s="13" t="inlineStr">
        <is>
          <t>Failure Handling 2 (type)</t>
        </is>
      </c>
      <c r="B18" s="14" t="inlineStr">
        <is>
          <t>Method/Alignment Failures</t>
        </is>
      </c>
      <c r="C18" s="9" t="n">
        <v>3</v>
      </c>
      <c r="D18" s="15" t="inlineStr">
        <is>
          <t>Method/Alignment Failures relate to improved documentation precision, accurately considering stricter fidelity; relevant to reference context.</t>
        </is>
      </c>
    </row>
    <row r="19" ht="95" customHeight="1">
      <c r="A19" s="13" t="inlineStr">
        <is>
          <t>Failure Handling 2 (suggestions)</t>
        </is>
      </c>
      <c r="B19" s="14" t="inlineStr">
        <is>
          <t>If stricter fidelity is desired, document the exact algebraic mapping from the paper’s equations to the code and include a direct comparison against the published figure values at selected Φ points.</t>
        </is>
      </c>
      <c r="C19" s="9" t="n">
        <v>3</v>
      </c>
      <c r="D19" s="15" t="inlineStr">
        <is>
          <t>Suggestion to map equations to code and compare figures directly is specific and feasible, addressing transparency and alignment as per reference.</t>
        </is>
      </c>
    </row>
    <row r="20" ht="95" customHeight="1">
      <c r="A20" s="13" t="inlineStr">
        <is>
          <t>Notes</t>
        </is>
      </c>
      <c r="B20" s="14"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9" t="n">
        <v>3</v>
      </c>
      <c r="D20" s="15" t="inlineStr">
        <is>
          <t>Notes clarify the theoretical nature of replication, emphasizing outputs and model structure over statistical metrics, aligning perfectly with the reference document discussion.</t>
        </is>
      </c>
    </row>
    <row r="21">
      <c r="A21" s="8" t="inlineStr">
        <is>
          <t>Total</t>
        </is>
      </c>
      <c r="C21" s="8">
        <f>SUM(C4:C20)</f>
        <v/>
      </c>
    </row>
    <row r="22">
      <c r="A22" s="8" t="inlineStr">
        <is>
          <t>Max possible</t>
        </is>
      </c>
      <c r="C22" s="8">
        <f>COUNT(C4:C20)*3</f>
        <v/>
      </c>
    </row>
    <row r="23">
      <c r="A23" s="8" t="inlineStr">
        <is>
          <t>Percentage</t>
        </is>
      </c>
      <c r="C23" s="18">
        <f>C21/C22</f>
        <v/>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Codex genuine report vs NEW RB-style reference, run 1 (gpt-4o)</t>
        </is>
      </c>
    </row>
    <row r="3">
      <c r="A3" s="3" t="inlineStr">
        <is>
          <t>Field</t>
        </is>
      </c>
      <c r="B3" s="3" t="inlineStr">
        <is>
          <t>What Codex wrote</t>
        </is>
      </c>
      <c r="C3" s="3" t="inlineStr">
        <is>
          <t>Score (0-3)</t>
        </is>
      </c>
      <c r="D3" s="3" t="inlineStr">
        <is>
          <t>Judge's explanation</t>
        </is>
      </c>
    </row>
    <row r="4" ht="95" customHeight="1">
      <c r="A4" s="13" t="inlineStr">
        <is>
          <t>Interpretation Summary</t>
        </is>
      </c>
      <c r="B4" s="19"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9" t="n">
        <v>3</v>
      </c>
      <c r="D4" s="15" t="inlineStr">
        <is>
          <t>The summary presents an accurate narrative of the replication process, making clear comparisons with the original study and confirming the core hypothesis with exact reporting of thresholds and results as described in the reference.</t>
        </is>
      </c>
    </row>
    <row r="5" ht="95" customHeight="1">
      <c r="A5" s="13" t="inlineStr">
        <is>
          <t>Execute Status</t>
        </is>
      </c>
      <c r="B5" s="19" t="inlineStr">
        <is>
          <t>Success</t>
        </is>
      </c>
      <c r="C5" s="9" t="n">
        <v>3</v>
      </c>
      <c r="D5" s="15" t="inlineStr">
        <is>
          <t>Execution status is reported as 'Success', which aligns with the successful reproduction of the study's claims.</t>
        </is>
      </c>
    </row>
    <row r="6" ht="95" customHeight="1">
      <c r="A6" s="13" t="inlineStr">
        <is>
          <t>Fidelity: Method Alignment</t>
        </is>
      </c>
      <c r="B6" s="19"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9" t="n">
        <v>3</v>
      </c>
      <c r="D6" s="15" t="inlineStr">
        <is>
          <t>There is full alignment with the preregistration, including the use of the correct model and plans. The reproduction of results followed all prescribed checks.</t>
        </is>
      </c>
    </row>
    <row r="7" ht="95" customHeight="1">
      <c r="A7" s="13" t="inlineStr">
        <is>
          <t>Fidelity: Deviation 1 (issue)</t>
        </is>
      </c>
      <c r="B7" s="19" t="inlineStr">
        <is>
          <t>The replication used a numerical grid of 1,001 automation values rather than a closed-form symbolic reproduction of the figure.</t>
        </is>
      </c>
      <c r="C7" s="9" t="n">
        <v>3</v>
      </c>
      <c r="D7" s="15" t="inlineStr">
        <is>
          <t>The described deviation accurately accounts for using a 1,001-point grid instead of a symbolic reproduction, consistent with practical execution differences.</t>
        </is>
      </c>
    </row>
    <row r="8" ht="95" customHeight="1">
      <c r="A8" s="13" t="inlineStr">
        <is>
          <t>Fidelity: Deviation 1 (impact)</t>
        </is>
      </c>
      <c r="B8" s="19" t="inlineStr">
        <is>
          <t>Low: this is consistent with the preregistered plan and did not affect the substantive results.</t>
        </is>
      </c>
      <c r="C8" s="9" t="n">
        <v>3</v>
      </c>
      <c r="D8" s="15" t="inlineStr">
        <is>
          <t>The impact is reported as low and still consistent with the preregistered plan, accurate in describing that it did not affect substantive results.</t>
        </is>
      </c>
    </row>
    <row r="9" ht="95" customHeight="1">
      <c r="A9" s="13" t="inlineStr">
        <is>
          <t>Fidelity: Deviation 2 (issue)</t>
        </is>
      </c>
      <c r="B9" s="19" t="inlineStr">
        <is>
          <t>The figure was reproduced as an SVG and numerical CSV rather than only a visual plot.</t>
        </is>
      </c>
      <c r="C9" s="9" t="n">
        <v>2</v>
      </c>
      <c r="D9" s="15" t="inlineStr">
        <is>
          <t>The deviation about figure reproduction is minor but not trivially mentioned in high detail in the reference.</t>
        </is>
      </c>
    </row>
    <row r="10" ht="95" customHeight="1">
      <c r="A10" s="13" t="inlineStr">
        <is>
          <t>Fidelity: Deviation 2 (impact)</t>
        </is>
      </c>
      <c r="B10" s="19" t="inlineStr">
        <is>
          <t>None: this improves reproducibility and does not alter the model results.</t>
        </is>
      </c>
      <c r="C10" s="9" t="n">
        <v>2</v>
      </c>
      <c r="D10" s="15" t="inlineStr">
        <is>
          <t>The mention of no impact does align but it is not deeply rooted in major disruptions, hence marking a bit lower due to less contextual importance.</t>
        </is>
      </c>
    </row>
    <row r="11" ht="95" customHeight="1">
      <c r="A11" s="13" t="inlineStr">
        <is>
          <t>Results: Hypothesis Tested</t>
        </is>
      </c>
      <c r="B11" s="19" t="inlineStr">
        <is>
          <t>In the paper's static scarcity-of-labor model, increasing the automated-task fraction Phi raises output until the labor-scarcity threshold and changes its division between the wage bill and capital returns; the threshold is Phi-hat = (K/L)/(1 + K/L).</t>
        </is>
      </c>
      <c r="C11" s="9" t="n">
        <v>2</v>
      </c>
      <c r="D11" s="15" t="inlineStr">
        <is>
          <t>The hypothesis summary closely matches the reference narrative; however, a bit more symbolic detail could be provided.</t>
        </is>
      </c>
    </row>
    <row r="12" ht="95" customHeight="1">
      <c r="A12" s="13" t="inlineStr">
        <is>
          <t>Results: Original Results</t>
        </is>
      </c>
      <c r="B12" s="19"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9" t="n">
        <v>3</v>
      </c>
      <c r="D12" s="15" t="inlineStr">
        <is>
          <t>All critical elements from the original results including parameter thresholds and variable behaviors are well documented and match the reference.</t>
        </is>
      </c>
    </row>
    <row r="13" ht="95" customHeight="1">
      <c r="A13" s="13" t="inlineStr">
        <is>
          <t>Results: Replication Results</t>
        </is>
      </c>
      <c r="B13" s="19"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16" t="n">
        <v>2</v>
      </c>
      <c r="D13" s="17" t="inlineStr">
        <is>
          <t>The replication results capture the primary numerical assertions, but some intricate details could have been expanded upon for full marks.</t>
        </is>
      </c>
    </row>
    <row r="14" ht="95" customHeight="1">
      <c r="A14" s="13" t="inlineStr">
        <is>
          <t>Results: Overall Answer</t>
        </is>
      </c>
      <c r="B14" s="19" t="inlineStr">
        <is>
          <t>Yes for the focal claim; the replication matches the preregistered comparison criteria and reproduces the theoretical pattern in Figure 6.</t>
        </is>
      </c>
      <c r="C14" s="16" t="n">
        <v>3</v>
      </c>
      <c r="D14" s="17" t="inlineStr">
        <is>
          <t>The overall answer adequately conveys the comparison outcome criteria, affirming replication success per referenced standards.</t>
        </is>
      </c>
    </row>
    <row r="15" ht="95" customHeight="1">
      <c r="A15" s="13" t="inlineStr">
        <is>
          <t>Replication Report</t>
        </is>
      </c>
      <c r="B15" s="19" t="inlineStr">
        <is>
          <t>Replication successful: the static scarcity-of-labor model was reproduced faithfully, with thresholds and output paths matching the original Figure 6 and validation checks passing.</t>
        </is>
      </c>
      <c r="C15" s="9" t="n">
        <v>3</v>
      </c>
      <c r="D15" s="15" t="inlineStr">
        <is>
          <t>The report effectively summarizes the successful replication with appropriate technical alignment with the original claims.</t>
        </is>
      </c>
    </row>
    <row r="16" ht="95" customHeight="1">
      <c r="A16" s="13" t="inlineStr">
        <is>
          <t>Failure Handling 1 (type)</t>
        </is>
      </c>
      <c r="B16" s="19" t="inlineStr">
        <is>
          <t>Results/Output Failures</t>
        </is>
      </c>
      <c r="C16" s="9" t="n">
        <v>3</v>
      </c>
      <c r="D16" s="15" t="inlineStr">
        <is>
          <t>Appropriately categorized as Results/Output Failures, with solid advice for future tighter benchmarking.</t>
        </is>
      </c>
    </row>
    <row r="17" ht="95" customHeight="1">
      <c r="A17" s="13" t="inlineStr">
        <is>
          <t>Failure Handling 1 (suggestions)</t>
        </is>
      </c>
      <c r="B17" s="19" t="inlineStr">
        <is>
          <t>No substantive failure occurred. If future comparisons require tighter benchmarking, provide a reference numerical table or exact plotting conventions from the original figure.</t>
        </is>
      </c>
      <c r="C17" s="9" t="n">
        <v>3</v>
      </c>
      <c r="D17" s="15" t="inlineStr">
        <is>
          <t>Suggestions are specific, coherent with areas needing enhancement, and propose feasible actions like tighter benchmarking.</t>
        </is>
      </c>
    </row>
    <row r="18" ht="95" customHeight="1">
      <c r="A18" s="13" t="inlineStr">
        <is>
          <t>Failure Handling 2 (type)</t>
        </is>
      </c>
      <c r="B18" s="19" t="inlineStr">
        <is>
          <t>Method/Alignment Failures</t>
        </is>
      </c>
      <c r="C18" s="9" t="n">
        <v>2</v>
      </c>
      <c r="D18" s="15" t="inlineStr">
        <is>
          <t>Identified correctly but lacks certain depth required for alignment failures.</t>
        </is>
      </c>
    </row>
    <row r="19" ht="95" customHeight="1">
      <c r="A19" s="13" t="inlineStr">
        <is>
          <t>Failure Handling 2 (suggestions)</t>
        </is>
      </c>
      <c r="B19" s="19" t="inlineStr">
        <is>
          <t>No major deviation detected. If a later replication needs stronger comparability, specify whether the figure should be matched at exact grid points or via continuous interpolation.</t>
        </is>
      </c>
      <c r="C19" s="9" t="n">
        <v>2</v>
      </c>
      <c r="D19" s="15" t="inlineStr">
        <is>
          <t>Feasible but slightly general recommendations are suggested, would benefit from highly directed specifics on expected outcomes.</t>
        </is>
      </c>
    </row>
    <row r="20" ht="95" customHeight="1">
      <c r="A20" s="13" t="inlineStr">
        <is>
          <t>Notes</t>
        </is>
      </c>
      <c r="B20" s="19"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9" t="n">
        <v>3</v>
      </c>
      <c r="D20" s="15" t="inlineStr">
        <is>
          <t>Notes appropriately demarcate deterministic theoretical grounds, pointing out relevant context for non-applicability of statistical significance.</t>
        </is>
      </c>
    </row>
    <row r="21">
      <c r="A21" s="8" t="inlineStr">
        <is>
          <t>Total</t>
        </is>
      </c>
      <c r="C21" s="8">
        <f>SUM(C4:C20)</f>
        <v/>
      </c>
    </row>
    <row r="22">
      <c r="A22" s="8" t="inlineStr">
        <is>
          <t>Max possible</t>
        </is>
      </c>
      <c r="C22" s="8">
        <f>COUNT(C4:C20)*3</f>
        <v/>
      </c>
    </row>
    <row r="23">
      <c r="A23" s="8" t="inlineStr">
        <is>
          <t>Percentage</t>
        </is>
      </c>
      <c r="C23" s="18">
        <f>C21/C22</f>
        <v/>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Codex genuine report vs NEW RB-style reference, run 2 (gpt-4o)</t>
        </is>
      </c>
    </row>
    <row r="3">
      <c r="A3" s="3" t="inlineStr">
        <is>
          <t>Field</t>
        </is>
      </c>
      <c r="B3" s="3" t="inlineStr">
        <is>
          <t>What Codex wrote</t>
        </is>
      </c>
      <c r="C3" s="3" t="inlineStr">
        <is>
          <t>Score (0-3)</t>
        </is>
      </c>
      <c r="D3" s="3" t="inlineStr">
        <is>
          <t>Judge's explanation</t>
        </is>
      </c>
    </row>
    <row r="4" ht="95" customHeight="1">
      <c r="A4" s="13" t="inlineStr">
        <is>
          <t>Interpretation Summary</t>
        </is>
      </c>
      <c r="B4" s="19"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9" t="n">
        <v>3</v>
      </c>
      <c r="D4" s="15" t="inlineStr">
        <is>
          <t>The summary closely aligns with the description in the reference document, accurately portraying the model and execution details, matching all thresholds, and describing the qualitative pattern of results.</t>
        </is>
      </c>
    </row>
    <row r="5" ht="95" customHeight="1">
      <c r="A5" s="13" t="inlineStr">
        <is>
          <t>Execute Status</t>
        </is>
      </c>
      <c r="B5" s="19" t="inlineStr">
        <is>
          <t>Success</t>
        </is>
      </c>
      <c r="C5" s="9" t="n">
        <v>3</v>
      </c>
      <c r="D5" s="15" t="inlineStr">
        <is>
          <t>The execution status as 'Success' is consistent with the reference that indicates the procedures followed and results achieved matched the preregistered criteria.</t>
        </is>
      </c>
    </row>
    <row r="6" ht="95" customHeight="1">
      <c r="A6" s="13" t="inlineStr">
        <is>
          <t>Fidelity: Method Alignment</t>
        </is>
      </c>
      <c r="B6" s="19"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9" t="n">
        <v>3</v>
      </c>
      <c r="D6" s="15" t="inlineStr">
        <is>
          <t>The method alignment reports full adherence to the preregistered plan, using the specified model and producing results as expected. There are no significant deviations reported.</t>
        </is>
      </c>
    </row>
    <row r="7" ht="95" customHeight="1">
      <c r="A7" s="13" t="inlineStr">
        <is>
          <t>Fidelity: Deviation 1 (issue)</t>
        </is>
      </c>
      <c r="B7" s="19" t="inlineStr">
        <is>
          <t>The replication used a numerical grid of 1,001 automation values rather than a closed-form symbolic reproduction of the figure.</t>
        </is>
      </c>
      <c r="C7" s="9" t="n">
        <v>2</v>
      </c>
      <c r="D7" s="15" t="inlineStr">
        <is>
          <t>The description of using a numerical grid is similar to the reference, but the deviation's significance is minor and doesn't completely match with a clear non-reported connection.</t>
        </is>
      </c>
    </row>
    <row r="8" ht="95" customHeight="1">
      <c r="A8" s="13" t="inlineStr">
        <is>
          <t>Fidelity: Deviation 1 (impact)</t>
        </is>
      </c>
      <c r="B8" s="19" t="inlineStr">
        <is>
          <t>Low: this is consistent with the preregistered plan and did not affect the substantive results.</t>
        </is>
      </c>
      <c r="C8" s="9" t="n">
        <v>3</v>
      </c>
      <c r="D8" s="15" t="inlineStr">
        <is>
          <t>The impact is rated low and does not affect substantive results, matching the evaluation in the reference document.</t>
        </is>
      </c>
    </row>
    <row r="9" ht="95" customHeight="1">
      <c r="A9" s="13" t="inlineStr">
        <is>
          <t>Fidelity: Deviation 2 (issue)</t>
        </is>
      </c>
      <c r="B9" s="19" t="inlineStr">
        <is>
          <t>The figure was reproduced as an SVG and numerical CSV rather than only a visual plot.</t>
        </is>
      </c>
      <c r="C9" s="9" t="n">
        <v>3</v>
      </c>
      <c r="D9" s="15" t="inlineStr">
        <is>
          <t>Reproducing as SVG and CSV adds clarity, aligning with the aim of improved reproducibility and not altering results.</t>
        </is>
      </c>
    </row>
    <row r="10" ht="95" customHeight="1">
      <c r="A10" s="13" t="inlineStr">
        <is>
          <t>Fidelity: Deviation 2 (impact)</t>
        </is>
      </c>
      <c r="B10" s="19" t="inlineStr">
        <is>
          <t>None: this improves reproducibility and does not alter the model results.</t>
        </is>
      </c>
      <c r="C10" s="9" t="n">
        <v>3</v>
      </c>
      <c r="D10" s="15" t="inlineStr">
        <is>
          <t>The impact as none is accurate given the documented benefits of enhanced reproducibility.</t>
        </is>
      </c>
    </row>
    <row r="11" ht="95" customHeight="1">
      <c r="A11" s="13" t="inlineStr">
        <is>
          <t>Results: Hypothesis Tested</t>
        </is>
      </c>
      <c r="B11" s="19" t="inlineStr">
        <is>
          <t>In the paper's static scarcity-of-labor model, increasing the automated-task fraction Phi raises output until the labor-scarcity threshold and changes its division between the wage bill and capital returns; the threshold is Phi-hat = (K/L)/(1 + K/L).</t>
        </is>
      </c>
      <c r="C11" s="9" t="n">
        <v>3</v>
      </c>
      <c r="D11" s="15" t="inlineStr">
        <is>
          <t>The tested hypothesis is clearly restated, matching the theoretical conditions and expected outcomes precisely as in the reference document.</t>
        </is>
      </c>
    </row>
    <row r="12" ht="95" customHeight="1">
      <c r="A12" s="13" t="inlineStr">
        <is>
          <t>Results: Original Results</t>
        </is>
      </c>
      <c r="B12" s="19"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9" t="n">
        <v>2</v>
      </c>
      <c r="D12" s="15" t="inlineStr">
        <is>
          <t>The structure and results from the original study are correctly represented but lack some specific numerical details about peaks and declines for the two cases discussed in the reference.</t>
        </is>
      </c>
    </row>
    <row r="13" ht="95" customHeight="1">
      <c r="A13" s="13" t="inlineStr">
        <is>
          <t>Results: Replication Results</t>
        </is>
      </c>
      <c r="B13" s="19"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16" t="n">
        <v>3</v>
      </c>
      <c r="D13" s="17" t="inlineStr">
        <is>
          <t>The replication results reflect the expected outcomes in terms of thresholds, computed outputs, and precise numerical variances match the reference, suggesting exactness to the predefined criteria.</t>
        </is>
      </c>
    </row>
    <row r="14" ht="95" customHeight="1">
      <c r="A14" s="13" t="inlineStr">
        <is>
          <t>Results: Overall Answer</t>
        </is>
      </c>
      <c r="B14" s="19" t="inlineStr">
        <is>
          <t>Yes for the focal claim; the replication matches the preregistered comparison criteria and reproduces the theoretical pattern in Figure 6.</t>
        </is>
      </c>
      <c r="C14" s="16" t="n">
        <v>3</v>
      </c>
      <c r="D14" s="17" t="inlineStr">
        <is>
          <t>The overall answer provides a conclusive match to preregistered criteria, accurately summarizing the successful replication as stated in the reference.</t>
        </is>
      </c>
    </row>
    <row r="15" ht="95" customHeight="1">
      <c r="A15" s="13" t="inlineStr">
        <is>
          <t>Replication Report</t>
        </is>
      </c>
      <c r="B15" s="19" t="inlineStr">
        <is>
          <t>Replication successful: the static scarcity-of-labor model was reproduced faithfully, with thresholds and output paths matching the original Figure 6 and validation checks passing.</t>
        </is>
      </c>
      <c r="C15" s="9" t="n">
        <v>3</v>
      </c>
      <c r="D15" s="15" t="inlineStr">
        <is>
          <t>The report concisely summarizes the reproduction of the model, confirming the essential outcomes with reference criteria thoroughly matched.</t>
        </is>
      </c>
    </row>
    <row r="16" ht="95" customHeight="1">
      <c r="A16" s="13" t="inlineStr">
        <is>
          <t>Failure Handling 1 (type)</t>
        </is>
      </c>
      <c r="B16" s="19" t="inlineStr">
        <is>
          <t>Results/Output Failures</t>
        </is>
      </c>
      <c r="C16" s="9" t="n">
        <v>3</v>
      </c>
      <c r="D16" s="15" t="inlineStr">
        <is>
          <t>Appropriately addresses suggestions when failures might occur, clearly within the scope of result/output issues as referenced.</t>
        </is>
      </c>
    </row>
    <row r="17" ht="95" customHeight="1">
      <c r="A17" s="13" t="inlineStr">
        <is>
          <t>Failure Handling 1 (suggestions)</t>
        </is>
      </c>
      <c r="B17" s="19" t="inlineStr">
        <is>
          <t>No substantive failure occurred. If future comparisons require tighter benchmarking, provide a reference numerical table or exact plotting conventions from the original figure.</t>
        </is>
      </c>
      <c r="C17" s="9" t="n">
        <v>3</v>
      </c>
      <c r="D17" s="15" t="inlineStr">
        <is>
          <t>The suggestions are coherent, specific, and practical, matching the precautionary measures outlined in the reference.</t>
        </is>
      </c>
    </row>
    <row r="18" ht="95" customHeight="1">
      <c r="A18" s="13" t="inlineStr">
        <is>
          <t>Failure Handling 2 (type)</t>
        </is>
      </c>
      <c r="B18" s="19" t="inlineStr">
        <is>
          <t>Method/Alignment Failures</t>
        </is>
      </c>
      <c r="C18" s="9" t="n">
        <v>3</v>
      </c>
      <c r="D18" s="15" t="inlineStr">
        <is>
          <t>Correct type described (method/alignment) matching context where no major deviation is detected.</t>
        </is>
      </c>
    </row>
    <row r="19" ht="95" customHeight="1">
      <c r="A19" s="13" t="inlineStr">
        <is>
          <t>Failure Handling 2 (suggestions)</t>
        </is>
      </c>
      <c r="B19" s="19" t="inlineStr">
        <is>
          <t>No major deviation detected. If a later replication needs stronger comparability, specify whether the figure should be matched at exact grid points or via continuous interpolation.</t>
        </is>
      </c>
      <c r="C19" s="9" t="n">
        <v>3</v>
      </c>
      <c r="D19" s="15" t="inlineStr">
        <is>
          <t>The suggestions appropriately guide future replicability checks, with appropriate focus points outlined in the reference for alignment consistency.</t>
        </is>
      </c>
    </row>
    <row r="20" ht="95" customHeight="1">
      <c r="A20" s="13" t="inlineStr">
        <is>
          <t>Notes</t>
        </is>
      </c>
      <c r="B20" s="19"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9" t="n">
        <v>3</v>
      </c>
      <c r="D20" s="15" t="inlineStr">
        <is>
          <t>The notes provide relevant insights into the nature of this theoretical replication, aligning with reference observations on precision and accuracy without involving statistical significance.</t>
        </is>
      </c>
    </row>
    <row r="21">
      <c r="A21" s="8" t="inlineStr">
        <is>
          <t>Total</t>
        </is>
      </c>
      <c r="C21" s="8">
        <f>SUM(C4:C20)</f>
        <v/>
      </c>
    </row>
    <row r="22">
      <c r="A22" s="8" t="inlineStr">
        <is>
          <t>Max possible</t>
        </is>
      </c>
      <c r="C22" s="8">
        <f>COUNT(C4:C20)*3</f>
        <v/>
      </c>
    </row>
    <row r="23">
      <c r="A23" s="8" t="inlineStr">
        <is>
          <t>Percentage</t>
        </is>
      </c>
      <c r="C23" s="18">
        <f>C21/C22</f>
        <v/>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Codex genuine report vs NEW RB-style reference, run 3 (gpt-4o)</t>
        </is>
      </c>
    </row>
    <row r="3">
      <c r="A3" s="3" t="inlineStr">
        <is>
          <t>Field</t>
        </is>
      </c>
      <c r="B3" s="3" t="inlineStr">
        <is>
          <t>What Codex wrote</t>
        </is>
      </c>
      <c r="C3" s="3" t="inlineStr">
        <is>
          <t>Score (0-3)</t>
        </is>
      </c>
      <c r="D3" s="3" t="inlineStr">
        <is>
          <t>Judge's explanation</t>
        </is>
      </c>
    </row>
    <row r="4" ht="95" customHeight="1">
      <c r="A4" s="13" t="inlineStr">
        <is>
          <t>Interpretation Summary</t>
        </is>
      </c>
      <c r="B4" s="19"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9" t="n">
        <v>3</v>
      </c>
      <c r="D4" s="15" t="inlineStr">
        <is>
          <t>The interpretation summary precisely matches the reference document. It describes the replication of the static scarcity-of-labor model with a high degree of detail and accuracy, describing the execution process and outcomes, aligning closely with the claims in the reference.</t>
        </is>
      </c>
    </row>
    <row r="5" ht="95" customHeight="1">
      <c r="A5" s="13" t="inlineStr">
        <is>
          <t>Execute Status</t>
        </is>
      </c>
      <c r="B5" s="19" t="inlineStr">
        <is>
          <t>Success</t>
        </is>
      </c>
      <c r="C5" s="9" t="n">
        <v>3</v>
      </c>
      <c r="D5" s="15" t="inlineStr">
        <is>
          <t>The execution status is marked as 'Success', which appropriately reflects the outcomes discussed in both the interpretation summary and the reference document.</t>
        </is>
      </c>
    </row>
    <row r="6" ht="95" customHeight="1">
      <c r="A6" s="13" t="inlineStr">
        <is>
          <t>Fidelity: Method Alignment</t>
        </is>
      </c>
      <c r="B6" s="19"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9" t="n">
        <v>3</v>
      </c>
      <c r="D6" s="15" t="inlineStr">
        <is>
          <t>The method alignment matches exactly with the description of the planned and executed replication, showing a perfect adherence to the preregistered plan as described in the reference document.</t>
        </is>
      </c>
    </row>
    <row r="7" ht="95" customHeight="1">
      <c r="A7" s="13" t="inlineStr">
        <is>
          <t>Fidelity: Deviation 1 (issue)</t>
        </is>
      </c>
      <c r="B7" s="19" t="inlineStr">
        <is>
          <t>The replication used a numerical grid of 1,001 automation values rather than a closed-form symbolic reproduction of the figure.</t>
        </is>
      </c>
      <c r="C7" s="9" t="inlineStr"/>
      <c r="D7" s="15" t="inlineStr"/>
    </row>
    <row r="8" ht="95" customHeight="1">
      <c r="A8" s="13" t="inlineStr">
        <is>
          <t>Fidelity: Deviation 1 (impact)</t>
        </is>
      </c>
      <c r="B8" s="19" t="inlineStr">
        <is>
          <t>Low: this is consistent with the preregistered plan and did not affect the substantive results.</t>
        </is>
      </c>
      <c r="C8" s="9" t="inlineStr"/>
      <c r="D8" s="15" t="inlineStr"/>
    </row>
    <row r="9" ht="95" customHeight="1">
      <c r="A9" s="13" t="inlineStr">
        <is>
          <t>Fidelity: Deviation 2 (issue)</t>
        </is>
      </c>
      <c r="B9" s="19" t="inlineStr">
        <is>
          <t>The figure was reproduced as an SVG and numerical CSV rather than only a visual plot.</t>
        </is>
      </c>
      <c r="C9" s="9" t="inlineStr"/>
      <c r="D9" s="15" t="inlineStr"/>
    </row>
    <row r="10" ht="95" customHeight="1">
      <c r="A10" s="13" t="inlineStr">
        <is>
          <t>Fidelity: Deviation 2 (impact)</t>
        </is>
      </c>
      <c r="B10" s="19" t="inlineStr">
        <is>
          <t>None: this improves reproducibility and does not alter the model results.</t>
        </is>
      </c>
      <c r="C10" s="9" t="inlineStr"/>
      <c r="D10" s="15" t="inlineStr"/>
    </row>
    <row r="11" ht="95" customHeight="1">
      <c r="A11" s="13" t="inlineStr">
        <is>
          <t>Results: Hypothesis Tested</t>
        </is>
      </c>
      <c r="B11" s="19" t="inlineStr">
        <is>
          <t>In the paper's static scarcity-of-labor model, increasing the automated-task fraction Phi raises output until the labor-scarcity threshold and changes its division between the wage bill and capital returns; the threshold is Phi-hat = (K/L)/(1 + K/L).</t>
        </is>
      </c>
      <c r="C11" s="9" t="n">
        <v>3</v>
      </c>
      <c r="D11" s="15" t="inlineStr">
        <is>
          <t>The hypothesis tested statement accurately restates the focal hypothesis as detailed in the reference document, covering the key elements using the same conceptual framework.</t>
        </is>
      </c>
    </row>
    <row r="12" ht="95" customHeight="1">
      <c r="A12" s="13" t="inlineStr">
        <is>
          <t>Results: Original Results</t>
        </is>
      </c>
      <c r="B12" s="19"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9" t="n">
        <v>3</v>
      </c>
      <c r="D12" s="15" t="inlineStr">
        <is>
          <t>The original results are accurately and comprehensively recounted, matching the description of Figure 6 from the reference, including valuable numerical detail and observations.</t>
        </is>
      </c>
    </row>
    <row r="13" ht="95" customHeight="1">
      <c r="A13" s="13" t="inlineStr">
        <is>
          <t>Results: Replication Results</t>
        </is>
      </c>
      <c r="B13" s="19"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16" t="n">
        <v>3</v>
      </c>
      <c r="D13" s="17" t="inlineStr">
        <is>
          <t>The replication results discussion reflects the same findings as in the reference document, corroborating the original results with equivalent detail and numerical precision.</t>
        </is>
      </c>
    </row>
    <row r="14" ht="95" customHeight="1">
      <c r="A14" s="13" t="inlineStr">
        <is>
          <t>Results: Overall Answer</t>
        </is>
      </c>
      <c r="B14" s="19" t="inlineStr">
        <is>
          <t>Yes for the focal claim; the replication matches the preregistered comparison criteria and reproduces the theoretical pattern in Figure 6.</t>
        </is>
      </c>
      <c r="C14" s="16" t="n">
        <v>3</v>
      </c>
      <c r="D14" s="17" t="inlineStr">
        <is>
          <t>The overall answer comprehensively satisfies the preregistered comparison criteria laid out in the reference document, demonstrating a successful replication.</t>
        </is>
      </c>
    </row>
    <row r="15" ht="95" customHeight="1">
      <c r="A15" s="13" t="inlineStr">
        <is>
          <t>Replication Report</t>
        </is>
      </c>
      <c r="B15" s="19" t="inlineStr">
        <is>
          <t>Replication successful: the static scarcity-of-labor model was reproduced faithfully, with thresholds and output paths matching the original Figure 6 and validation checks passing.</t>
        </is>
      </c>
      <c r="C15" s="9" t="n">
        <v>3</v>
      </c>
      <c r="D15" s="15" t="inlineStr">
        <is>
          <t>The report summarizes the results effectively, mirroring the level of detail and overall conclusions present in the reference document.</t>
        </is>
      </c>
    </row>
    <row r="16" ht="95" customHeight="1">
      <c r="A16" s="13" t="inlineStr">
        <is>
          <t>Failure Handling 1 (type)</t>
        </is>
      </c>
      <c r="B16" s="19" t="inlineStr">
        <is>
          <t>Results/Output Failures</t>
        </is>
      </c>
      <c r="C16" s="9" t="inlineStr"/>
      <c r="D16" s="15" t="inlineStr"/>
    </row>
    <row r="17" ht="95" customHeight="1">
      <c r="A17" s="13" t="inlineStr">
        <is>
          <t>Failure Handling 1 (suggestions)</t>
        </is>
      </c>
      <c r="B17" s="19" t="inlineStr">
        <is>
          <t>No substantive failure occurred. If future comparisons require tighter benchmarking, provide a reference numerical table or exact plotting conventions from the original figure.</t>
        </is>
      </c>
      <c r="C17" s="9" t="inlineStr"/>
      <c r="D17" s="15" t="inlineStr"/>
    </row>
    <row r="18" ht="95" customHeight="1">
      <c r="A18" s="13" t="inlineStr">
        <is>
          <t>Failure Handling 2 (type)</t>
        </is>
      </c>
      <c r="B18" s="19" t="inlineStr">
        <is>
          <t>Method/Alignment Failures</t>
        </is>
      </c>
      <c r="C18" s="9" t="inlineStr"/>
      <c r="D18" s="15" t="inlineStr"/>
    </row>
    <row r="19" ht="95" customHeight="1">
      <c r="A19" s="13" t="inlineStr">
        <is>
          <t>Failure Handling 2 (suggestions)</t>
        </is>
      </c>
      <c r="B19" s="19" t="inlineStr">
        <is>
          <t>No major deviation detected. If a later replication needs stronger comparability, specify whether the figure should be matched at exact grid points or via continuous interpolation.</t>
        </is>
      </c>
      <c r="C19" s="9" t="inlineStr"/>
      <c r="D19" s="15" t="inlineStr"/>
    </row>
    <row r="20" ht="95" customHeight="1">
      <c r="A20" s="13" t="inlineStr">
        <is>
          <t>Notes</t>
        </is>
      </c>
      <c r="B20" s="19"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9" t="n">
        <v>3</v>
      </c>
      <c r="D20" s="15" t="inlineStr">
        <is>
          <t>The notes appropriately highlight the deterministic nature of the replication, note the irrelevance of statistical significance metrics, and provide precise details about file outputs—matching the contextual and specific information in the reference.</t>
        </is>
      </c>
    </row>
    <row r="21">
      <c r="A21" s="8" t="inlineStr">
        <is>
          <t>Total</t>
        </is>
      </c>
      <c r="C21" s="8">
        <f>SUM(C4:C20)</f>
        <v/>
      </c>
    </row>
    <row r="22">
      <c r="A22" s="8" t="inlineStr">
        <is>
          <t>Max possible</t>
        </is>
      </c>
      <c r="C22" s="8">
        <f>COUNT(C4:C20)*3</f>
        <v/>
      </c>
    </row>
    <row r="23">
      <c r="A23" s="8" t="inlineStr">
        <is>
          <t>Percentage</t>
        </is>
      </c>
      <c r="C23" s="18">
        <f>C21/C22</f>
        <v/>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40"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s>
  <sheetData>
    <row r="1">
      <c r="A1" s="1" t="inlineStr">
        <is>
          <t>Per-field scores: same agent reports, old vs new reference document</t>
        </is>
      </c>
    </row>
    <row r="2" ht="42" customHeight="1">
      <c r="A2" s="2" t="inlineStr">
        <is>
          <t>Each agent's interpret_results.json is byte-identical across its two conditions -- only the reference document changes. Highlighted: replication_results (the only field reporting what the agent's code produced) and overall_answer (the verdict, which had never moved off 3/3 in any earlier condition).</t>
        </is>
      </c>
    </row>
    <row r="4">
      <c r="A4" s="3" t="inlineStr">
        <is>
          <t>Field</t>
        </is>
      </c>
      <c r="B4" s="3" t="inlineStr">
        <is>
          <t>RA, old doc</t>
        </is>
      </c>
      <c r="C4" s="3" t="n"/>
      <c r="D4" s="3" t="n"/>
      <c r="E4" s="3" t="inlineStr">
        <is>
          <t>RA, NEW doc</t>
        </is>
      </c>
      <c r="F4" s="3" t="n"/>
      <c r="G4" s="3" t="n"/>
      <c r="H4" s="3" t="inlineStr">
        <is>
          <t>Codex, old doc</t>
        </is>
      </c>
      <c r="I4" s="3" t="n"/>
      <c r="J4" s="3" t="n"/>
      <c r="K4" s="3" t="inlineStr">
        <is>
          <t>Codex, NEW doc</t>
        </is>
      </c>
      <c r="L4" s="3" t="n"/>
      <c r="M4" s="3" t="n"/>
    </row>
    <row r="5">
      <c r="A5" s="20" t="n"/>
      <c r="B5" s="20" t="inlineStr">
        <is>
          <t>r1</t>
        </is>
      </c>
      <c r="C5" s="20" t="inlineStr">
        <is>
          <t>r2</t>
        </is>
      </c>
      <c r="D5" s="20" t="inlineStr">
        <is>
          <t>r3</t>
        </is>
      </c>
      <c r="E5" s="20" t="inlineStr">
        <is>
          <t>r1</t>
        </is>
      </c>
      <c r="F5" s="20" t="inlineStr">
        <is>
          <t>r2</t>
        </is>
      </c>
      <c r="G5" s="20" t="inlineStr">
        <is>
          <t>r3</t>
        </is>
      </c>
      <c r="H5" s="20" t="inlineStr">
        <is>
          <t>r1</t>
        </is>
      </c>
      <c r="I5" s="20" t="inlineStr">
        <is>
          <t>r2</t>
        </is>
      </c>
      <c r="J5" s="20" t="inlineStr">
        <is>
          <t>r3</t>
        </is>
      </c>
      <c r="K5" s="20" t="inlineStr">
        <is>
          <t>r1</t>
        </is>
      </c>
      <c r="L5" s="20" t="inlineStr">
        <is>
          <t>r2</t>
        </is>
      </c>
      <c r="M5" s="20" t="inlineStr">
        <is>
          <t>r3</t>
        </is>
      </c>
    </row>
    <row r="6" ht="28" customHeight="1">
      <c r="A6" s="13" t="inlineStr">
        <is>
          <t>Interpretation Summary</t>
        </is>
      </c>
      <c r="B6" s="9" t="n">
        <v>3</v>
      </c>
      <c r="C6" s="9" t="n">
        <v>3</v>
      </c>
      <c r="D6" s="9" t="n">
        <v>3</v>
      </c>
      <c r="E6" s="9" t="n">
        <v>3</v>
      </c>
      <c r="F6" s="9" t="n">
        <v>3</v>
      </c>
      <c r="G6" s="9" t="n">
        <v>3</v>
      </c>
      <c r="H6" s="9" t="n">
        <v>3</v>
      </c>
      <c r="I6" s="9" t="n">
        <v>3</v>
      </c>
      <c r="J6" s="9" t="n">
        <v>3</v>
      </c>
      <c r="K6" s="9" t="n">
        <v>3</v>
      </c>
      <c r="L6" s="9" t="n">
        <v>3</v>
      </c>
      <c r="M6" s="9" t="n">
        <v>3</v>
      </c>
    </row>
    <row r="7" ht="28" customHeight="1">
      <c r="A7" s="13" t="inlineStr">
        <is>
          <t>Execute Status</t>
        </is>
      </c>
      <c r="B7" s="9" t="n">
        <v>3</v>
      </c>
      <c r="C7" s="9" t="n">
        <v>3</v>
      </c>
      <c r="D7" s="9" t="n">
        <v>3</v>
      </c>
      <c r="E7" s="9" t="n">
        <v>3</v>
      </c>
      <c r="F7" s="9" t="n">
        <v>3</v>
      </c>
      <c r="G7" s="9" t="n">
        <v>3</v>
      </c>
      <c r="H7" s="9" t="n">
        <v>3</v>
      </c>
      <c r="I7" s="9" t="n">
        <v>3</v>
      </c>
      <c r="J7" s="9" t="n">
        <v>3</v>
      </c>
      <c r="K7" s="9" t="n">
        <v>3</v>
      </c>
      <c r="L7" s="9" t="n">
        <v>3</v>
      </c>
      <c r="M7" s="9" t="n">
        <v>3</v>
      </c>
    </row>
    <row r="8" ht="28" customHeight="1">
      <c r="A8" s="13" t="inlineStr">
        <is>
          <t>Fidelity: Method Alignment</t>
        </is>
      </c>
      <c r="B8" s="9" t="n">
        <v>3</v>
      </c>
      <c r="C8" s="9" t="n">
        <v>3</v>
      </c>
      <c r="D8" s="9" t="n">
        <v>3</v>
      </c>
      <c r="E8" s="9" t="n">
        <v>3</v>
      </c>
      <c r="F8" s="9" t="n">
        <v>3</v>
      </c>
      <c r="G8" s="9" t="n">
        <v>3</v>
      </c>
      <c r="H8" s="9" t="n">
        <v>3</v>
      </c>
      <c r="I8" s="9" t="n">
        <v>3</v>
      </c>
      <c r="J8" s="9" t="n">
        <v>3</v>
      </c>
      <c r="K8" s="9" t="n">
        <v>3</v>
      </c>
      <c r="L8" s="9" t="n">
        <v>3</v>
      </c>
      <c r="M8" s="9" t="n">
        <v>3</v>
      </c>
    </row>
    <row r="9" ht="28" customHeight="1">
      <c r="A9" s="13" t="inlineStr">
        <is>
          <t>Fidelity: Deviation 1 (issue)</t>
        </is>
      </c>
      <c r="B9" s="9" t="n">
        <v>2</v>
      </c>
      <c r="C9" s="9" t="inlineStr"/>
      <c r="D9" s="9" t="n">
        <v>3</v>
      </c>
      <c r="E9" s="9" t="n">
        <v>2</v>
      </c>
      <c r="F9" s="9" t="n">
        <v>2</v>
      </c>
      <c r="G9" s="9" t="n">
        <v>2</v>
      </c>
      <c r="H9" s="9" t="n">
        <v>2</v>
      </c>
      <c r="I9" s="9" t="n">
        <v>2</v>
      </c>
      <c r="J9" s="9" t="n">
        <v>3</v>
      </c>
      <c r="K9" s="9" t="n">
        <v>3</v>
      </c>
      <c r="L9" s="9" t="n">
        <v>2</v>
      </c>
      <c r="M9" s="9" t="inlineStr"/>
    </row>
    <row r="10" ht="28" customHeight="1">
      <c r="A10" s="13" t="inlineStr">
        <is>
          <t>Fidelity: Deviation 1 (impact)</t>
        </is>
      </c>
      <c r="B10" s="9" t="n">
        <v>2</v>
      </c>
      <c r="C10" s="9" t="inlineStr"/>
      <c r="D10" s="9" t="n">
        <v>3</v>
      </c>
      <c r="E10" s="9" t="n">
        <v>3</v>
      </c>
      <c r="F10" s="9" t="n">
        <v>2</v>
      </c>
      <c r="G10" s="9" t="n">
        <v>2</v>
      </c>
      <c r="H10" s="9" t="n">
        <v>2</v>
      </c>
      <c r="I10" s="9" t="n">
        <v>3</v>
      </c>
      <c r="J10" s="9" t="n">
        <v>3</v>
      </c>
      <c r="K10" s="9" t="n">
        <v>3</v>
      </c>
      <c r="L10" s="9" t="n">
        <v>3</v>
      </c>
      <c r="M10" s="9" t="inlineStr"/>
    </row>
    <row r="11" ht="28" customHeight="1">
      <c r="A11" s="13" t="inlineStr">
        <is>
          <t>Fidelity: Deviation 2 (issue)</t>
        </is>
      </c>
      <c r="B11" s="9" t="n">
        <v>3</v>
      </c>
      <c r="C11" s="9" t="inlineStr"/>
      <c r="D11" s="9" t="n">
        <v>3</v>
      </c>
      <c r="E11" s="9" t="n">
        <v>3</v>
      </c>
      <c r="F11" s="9" t="n">
        <v>3</v>
      </c>
      <c r="G11" s="9" t="n">
        <v>3</v>
      </c>
      <c r="H11" s="9" t="n">
        <v>1</v>
      </c>
      <c r="I11" s="9" t="n">
        <v>2</v>
      </c>
      <c r="J11" s="9" t="n">
        <v>3</v>
      </c>
      <c r="K11" s="9" t="n">
        <v>2</v>
      </c>
      <c r="L11" s="9" t="n">
        <v>3</v>
      </c>
      <c r="M11" s="9" t="inlineStr"/>
    </row>
    <row r="12" ht="28" customHeight="1">
      <c r="A12" s="13" t="inlineStr">
        <is>
          <t>Fidelity: Deviation 2 (impact)</t>
        </is>
      </c>
      <c r="B12" s="9" t="n">
        <v>3</v>
      </c>
      <c r="C12" s="9" t="inlineStr"/>
      <c r="D12" s="9" t="n">
        <v>3</v>
      </c>
      <c r="E12" s="9" t="n">
        <v>3</v>
      </c>
      <c r="F12" s="9" t="n">
        <v>3</v>
      </c>
      <c r="G12" s="9" t="n">
        <v>3</v>
      </c>
      <c r="H12" s="9" t="n">
        <v>1</v>
      </c>
      <c r="I12" s="9" t="n">
        <v>3</v>
      </c>
      <c r="J12" s="9" t="n">
        <v>3</v>
      </c>
      <c r="K12" s="9" t="n">
        <v>2</v>
      </c>
      <c r="L12" s="9" t="n">
        <v>3</v>
      </c>
      <c r="M12" s="9" t="inlineStr"/>
    </row>
    <row r="13" ht="28" customHeight="1">
      <c r="A13" s="13" t="inlineStr">
        <is>
          <t>Results: Hypothesis Tested</t>
        </is>
      </c>
      <c r="B13" s="9" t="n">
        <v>3</v>
      </c>
      <c r="C13" s="9" t="n">
        <v>3</v>
      </c>
      <c r="D13" s="9" t="n">
        <v>3</v>
      </c>
      <c r="E13" s="9" t="n">
        <v>3</v>
      </c>
      <c r="F13" s="9" t="n">
        <v>2</v>
      </c>
      <c r="G13" s="9" t="n">
        <v>3</v>
      </c>
      <c r="H13" s="9" t="n">
        <v>2</v>
      </c>
      <c r="I13" s="9" t="n">
        <v>3</v>
      </c>
      <c r="J13" s="9" t="n">
        <v>2</v>
      </c>
      <c r="K13" s="9" t="n">
        <v>2</v>
      </c>
      <c r="L13" s="9" t="n">
        <v>3</v>
      </c>
      <c r="M13" s="9" t="n">
        <v>3</v>
      </c>
    </row>
    <row r="14" ht="28" customHeight="1">
      <c r="A14" s="13" t="inlineStr">
        <is>
          <t>Results: Original Results</t>
        </is>
      </c>
      <c r="B14" s="9" t="n">
        <v>3</v>
      </c>
      <c r="C14" s="9" t="n">
        <v>2</v>
      </c>
      <c r="D14" s="9" t="n">
        <v>2</v>
      </c>
      <c r="E14" s="9" t="n">
        <v>3</v>
      </c>
      <c r="F14" s="9" t="n">
        <v>2</v>
      </c>
      <c r="G14" s="9" t="n">
        <v>2</v>
      </c>
      <c r="H14" s="9" t="n">
        <v>3</v>
      </c>
      <c r="I14" s="9" t="n">
        <v>3</v>
      </c>
      <c r="J14" s="9" t="n">
        <v>3</v>
      </c>
      <c r="K14" s="9" t="n">
        <v>3</v>
      </c>
      <c r="L14" s="9" t="n">
        <v>2</v>
      </c>
      <c r="M14" s="9" t="n">
        <v>3</v>
      </c>
    </row>
    <row r="15" ht="28" customHeight="1">
      <c r="A15" s="21" t="inlineStr">
        <is>
          <t>Results: Replication Results</t>
        </is>
      </c>
      <c r="B15" s="16" t="n">
        <v>3</v>
      </c>
      <c r="C15" s="16" t="n">
        <v>2</v>
      </c>
      <c r="D15" s="16" t="n">
        <v>2</v>
      </c>
      <c r="E15" s="16" t="n">
        <v>2</v>
      </c>
      <c r="F15" s="16" t="n">
        <v>1</v>
      </c>
      <c r="G15" s="16" t="n">
        <v>2</v>
      </c>
      <c r="H15" s="16" t="n">
        <v>3</v>
      </c>
      <c r="I15" s="16" t="n">
        <v>3</v>
      </c>
      <c r="J15" s="16" t="n">
        <v>3</v>
      </c>
      <c r="K15" s="16" t="n">
        <v>2</v>
      </c>
      <c r="L15" s="16" t="n">
        <v>3</v>
      </c>
      <c r="M15" s="16" t="n">
        <v>3</v>
      </c>
    </row>
    <row r="16" ht="28" customHeight="1">
      <c r="A16" s="21" t="inlineStr">
        <is>
          <t>Results: Overall Answer</t>
        </is>
      </c>
      <c r="B16" s="16" t="n">
        <v>3</v>
      </c>
      <c r="C16" s="16" t="n">
        <v>3</v>
      </c>
      <c r="D16" s="16" t="n">
        <v>3</v>
      </c>
      <c r="E16" s="16" t="n">
        <v>2</v>
      </c>
      <c r="F16" s="16" t="n">
        <v>2</v>
      </c>
      <c r="G16" s="16" t="n">
        <v>3</v>
      </c>
      <c r="H16" s="16" t="n">
        <v>3</v>
      </c>
      <c r="I16" s="16" t="n">
        <v>3</v>
      </c>
      <c r="J16" s="16" t="n">
        <v>3</v>
      </c>
      <c r="K16" s="16" t="n">
        <v>3</v>
      </c>
      <c r="L16" s="16" t="n">
        <v>3</v>
      </c>
      <c r="M16" s="16" t="n">
        <v>3</v>
      </c>
    </row>
    <row r="17" ht="28" customHeight="1">
      <c r="A17" s="13" t="inlineStr">
        <is>
          <t>Replication Report</t>
        </is>
      </c>
      <c r="B17" s="9" t="n">
        <v>3</v>
      </c>
      <c r="C17" s="9" t="n">
        <v>3</v>
      </c>
      <c r="D17" s="9" t="n">
        <v>3</v>
      </c>
      <c r="E17" s="9" t="n">
        <v>3</v>
      </c>
      <c r="F17" s="9" t="n">
        <v>2</v>
      </c>
      <c r="G17" s="9" t="n">
        <v>3</v>
      </c>
      <c r="H17" s="9" t="n">
        <v>3</v>
      </c>
      <c r="I17" s="9" t="n">
        <v>3</v>
      </c>
      <c r="J17" s="9" t="n">
        <v>3</v>
      </c>
      <c r="K17" s="9" t="n">
        <v>3</v>
      </c>
      <c r="L17" s="9" t="n">
        <v>3</v>
      </c>
      <c r="M17" s="9" t="n">
        <v>3</v>
      </c>
    </row>
    <row r="18" ht="28" customHeight="1">
      <c r="A18" s="13" t="inlineStr">
        <is>
          <t>Failure Handling 1 (type)</t>
        </is>
      </c>
      <c r="B18" s="9" t="n">
        <v>3</v>
      </c>
      <c r="C18" s="9" t="inlineStr"/>
      <c r="D18" s="9" t="n">
        <v>3</v>
      </c>
      <c r="E18" s="9" t="n">
        <v>3</v>
      </c>
      <c r="F18" s="9" t="n">
        <v>3</v>
      </c>
      <c r="G18" s="9" t="n">
        <v>3</v>
      </c>
      <c r="H18" s="9" t="n">
        <v>3</v>
      </c>
      <c r="I18" s="9" t="n">
        <v>2</v>
      </c>
      <c r="J18" s="9" t="n">
        <v>3</v>
      </c>
      <c r="K18" s="9" t="n">
        <v>3</v>
      </c>
      <c r="L18" s="9" t="n">
        <v>3</v>
      </c>
      <c r="M18" s="9" t="inlineStr"/>
    </row>
    <row r="19" ht="28" customHeight="1">
      <c r="A19" s="13" t="inlineStr">
        <is>
          <t>Failure Handling 1 (suggestions)</t>
        </is>
      </c>
      <c r="B19" s="9" t="n">
        <v>3</v>
      </c>
      <c r="C19" s="9" t="inlineStr"/>
      <c r="D19" s="9" t="n">
        <v>3</v>
      </c>
      <c r="E19" s="9" t="n">
        <v>3</v>
      </c>
      <c r="F19" s="9" t="n">
        <v>3</v>
      </c>
      <c r="G19" s="9" t="n">
        <v>3</v>
      </c>
      <c r="H19" s="9" t="n">
        <v>2</v>
      </c>
      <c r="I19" s="9" t="n">
        <v>2</v>
      </c>
      <c r="J19" s="9" t="n">
        <v>3</v>
      </c>
      <c r="K19" s="9" t="n">
        <v>3</v>
      </c>
      <c r="L19" s="9" t="n">
        <v>3</v>
      </c>
      <c r="M19" s="9" t="inlineStr"/>
    </row>
    <row r="20" ht="28" customHeight="1">
      <c r="A20" s="13" t="inlineStr">
        <is>
          <t>Failure Handling 2 (type)</t>
        </is>
      </c>
      <c r="B20" s="9" t="n">
        <v>3</v>
      </c>
      <c r="C20" s="9" t="inlineStr"/>
      <c r="D20" s="9" t="n">
        <v>3</v>
      </c>
      <c r="E20" s="9" t="n">
        <v>3</v>
      </c>
      <c r="F20" s="9" t="n">
        <v>3</v>
      </c>
      <c r="G20" s="9" t="n">
        <v>3</v>
      </c>
      <c r="H20" s="9" t="n">
        <v>3</v>
      </c>
      <c r="I20" s="9" t="n">
        <v>2</v>
      </c>
      <c r="J20" s="9" t="n">
        <v>3</v>
      </c>
      <c r="K20" s="9" t="n">
        <v>2</v>
      </c>
      <c r="L20" s="9" t="n">
        <v>3</v>
      </c>
      <c r="M20" s="9" t="inlineStr"/>
    </row>
    <row r="21" ht="28" customHeight="1">
      <c r="A21" s="13" t="inlineStr">
        <is>
          <t>Failure Handling 2 (suggestions)</t>
        </is>
      </c>
      <c r="B21" s="9" t="n">
        <v>3</v>
      </c>
      <c r="C21" s="9" t="inlineStr"/>
      <c r="D21" s="9" t="n">
        <v>3</v>
      </c>
      <c r="E21" s="9" t="n">
        <v>3</v>
      </c>
      <c r="F21" s="9" t="n">
        <v>3</v>
      </c>
      <c r="G21" s="9" t="n">
        <v>3</v>
      </c>
      <c r="H21" s="9" t="n">
        <v>2</v>
      </c>
      <c r="I21" s="9" t="n">
        <v>2</v>
      </c>
      <c r="J21" s="9" t="n">
        <v>3</v>
      </c>
      <c r="K21" s="9" t="n">
        <v>2</v>
      </c>
      <c r="L21" s="9" t="n">
        <v>3</v>
      </c>
      <c r="M21" s="9" t="inlineStr"/>
    </row>
    <row r="22" ht="28" customHeight="1">
      <c r="A22" s="13" t="inlineStr">
        <is>
          <t>Notes</t>
        </is>
      </c>
      <c r="B22" s="9" t="n">
        <v>3</v>
      </c>
      <c r="C22" s="9" t="n">
        <v>3</v>
      </c>
      <c r="D22" s="9" t="n">
        <v>3</v>
      </c>
      <c r="E22" s="9" t="n">
        <v>3</v>
      </c>
      <c r="F22" s="9" t="n">
        <v>3</v>
      </c>
      <c r="G22" s="9" t="n">
        <v>3</v>
      </c>
      <c r="H22" s="9" t="n">
        <v>3</v>
      </c>
      <c r="I22" s="9" t="n">
        <v>3</v>
      </c>
      <c r="J22" s="9" t="n">
        <v>3</v>
      </c>
      <c r="K22" s="9" t="n">
        <v>3</v>
      </c>
      <c r="L22" s="9" t="n">
        <v>3</v>
      </c>
      <c r="M22" s="9" t="n">
        <v>3</v>
      </c>
    </row>
  </sheetData>
  <mergeCells count="6">
    <mergeCell ref="A1:M1"/>
    <mergeCell ref="K4:M4"/>
    <mergeCell ref="B4:D4"/>
    <mergeCell ref="H4:J4"/>
    <mergeCell ref="E4:G4"/>
    <mergeCell ref="A2:M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2026-08-18T22:52:59Z</dcterms:created>
  <dcterms:modified xmlns:dcterms="http://purl.org/dc/terms/" xmlns:xsi="http://www.w3.org/2001/XMLSchema-instance" xsi:type="dcterms:W3CDTF">2026-08-18T22:52:59Z</dcterms:modified>
</cp:coreProperties>
</file>